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3q1700\AppData\Roaming\Microsoft\Excel\XLSTART\"/>
    </mc:Choice>
  </mc:AlternateContent>
  <bookViews>
    <workbookView minimized="1" xWindow="0" yWindow="0" windowWidth="18870" windowHeight="8655"/>
  </bookViews>
  <sheets>
    <sheet name="Earnings" sheetId="2" r:id="rId1"/>
    <sheet name="VariableCreator" sheetId="3" r:id="rId2"/>
    <sheet name="Bar Stools" sheetId="4" r:id="rId3"/>
    <sheet name="Budget" sheetId="5" r:id="rId4"/>
  </sheets>
  <functionGroups builtInGroupCount="18"/>
  <externalReferences>
    <externalReference r:id="rId5"/>
  </externalReferences>
  <definedNames>
    <definedName name="_xlnm._FilterDatabase" localSheetId="3" hidden="1">Budget!$A$1:$H$327</definedName>
    <definedName name="AfterTaxTable" localSheetId="2">[1]!Table6[#Data]</definedName>
    <definedName name="AfterTaxTable" localSheetId="3">[1]!Table6[#Data]</definedName>
    <definedName name="AfterTaxTable" localSheetId="1">[1]!Table6[#Data]</definedName>
    <definedName name="AfterTaxTable">Table6[]</definedName>
    <definedName name="PreTaxTable" localSheetId="2">[1]!Table4[#Data]</definedName>
    <definedName name="PreTaxTable" localSheetId="3">[1]!Table4[#Data]</definedName>
    <definedName name="PreTaxTable" localSheetId="1">[1]!Table4[#Data]</definedName>
    <definedName name="PreTaxTable">Table4[]</definedName>
    <definedName name="TaxTable" localSheetId="2">[1]!Table5[#Data]</definedName>
    <definedName name="TaxTable" localSheetId="3">[1]!Table5[#Data]</definedName>
    <definedName name="TaxTable" localSheetId="1">[1]!Table5[#Data]</definedName>
    <definedName name="TaxTable">Table5[]</definedName>
    <definedName name="Weekly_Tasks">OFFSET(#REF!,0,0,COUNTA(#REF!),1)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3" i="5" l="1"/>
  <c r="L42" i="5" l="1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L3" i="5"/>
  <c r="L2" i="5"/>
  <c r="P1" i="5"/>
  <c r="E230" i="4"/>
  <c r="E204" i="4"/>
  <c r="E166" i="4"/>
  <c r="E136" i="4"/>
  <c r="E119" i="4"/>
  <c r="E115" i="4"/>
  <c r="E99" i="4"/>
  <c r="E83" i="4"/>
  <c r="E61" i="4"/>
  <c r="E60" i="4"/>
  <c r="E59" i="4"/>
  <c r="E45" i="4"/>
  <c r="E44" i="4"/>
  <c r="E43" i="4"/>
  <c r="E29" i="4"/>
  <c r="E28" i="4"/>
  <c r="E27" i="4"/>
  <c r="E25" i="4"/>
  <c r="E24" i="4"/>
  <c r="E23" i="4"/>
  <c r="E13" i="4"/>
  <c r="E12" i="4"/>
  <c r="E11" i="4"/>
  <c r="E9" i="4"/>
  <c r="E8" i="4"/>
  <c r="E7" i="4"/>
  <c r="J2" i="4"/>
  <c r="E337" i="4" s="1"/>
  <c r="E2" i="4"/>
  <c r="A7" i="3"/>
  <c r="A3" i="3"/>
  <c r="A5" i="3" s="1"/>
  <c r="B63" i="2"/>
  <c r="B62" i="2"/>
  <c r="E58" i="2"/>
  <c r="B55" i="2"/>
  <c r="B54" i="2"/>
  <c r="B53" i="2"/>
  <c r="B52" i="2"/>
  <c r="B50" i="2"/>
  <c r="A43" i="2"/>
  <c r="A42" i="2"/>
  <c r="A41" i="2"/>
  <c r="C26" i="2"/>
  <c r="B13" i="2"/>
  <c r="B12" i="2"/>
  <c r="B11" i="2"/>
  <c r="B7" i="2"/>
  <c r="E3" i="2"/>
  <c r="E2" i="2"/>
  <c r="E5" i="2" l="1"/>
  <c r="E6" i="2" s="1"/>
  <c r="E3" i="4"/>
  <c r="E4" i="4"/>
  <c r="E20" i="4"/>
  <c r="E35" i="4"/>
  <c r="E37" i="4"/>
  <c r="E51" i="4"/>
  <c r="E52" i="4"/>
  <c r="E53" i="4"/>
  <c r="E67" i="4"/>
  <c r="E68" i="4"/>
  <c r="E69" i="4"/>
  <c r="E75" i="4"/>
  <c r="E91" i="4"/>
  <c r="E107" i="4"/>
  <c r="E134" i="4"/>
  <c r="E151" i="4"/>
  <c r="E168" i="4"/>
  <c r="E188" i="4"/>
  <c r="E220" i="4"/>
  <c r="E15" i="4"/>
  <c r="E16" i="4"/>
  <c r="E17" i="4"/>
  <c r="E31" i="4"/>
  <c r="E32" i="4"/>
  <c r="E33" i="4"/>
  <c r="E47" i="4"/>
  <c r="E48" i="4"/>
  <c r="E49" i="4"/>
  <c r="E63" i="4"/>
  <c r="E64" i="4"/>
  <c r="E65" i="4"/>
  <c r="E79" i="4"/>
  <c r="E95" i="4"/>
  <c r="E111" i="4"/>
  <c r="E118" i="4"/>
  <c r="E135" i="4"/>
  <c r="E152" i="4"/>
  <c r="E196" i="4"/>
  <c r="E228" i="4"/>
  <c r="E241" i="4"/>
  <c r="E258" i="4"/>
  <c r="E275" i="4"/>
  <c r="E354" i="4"/>
  <c r="E39" i="4"/>
  <c r="E40" i="4"/>
  <c r="E41" i="4"/>
  <c r="E55" i="4"/>
  <c r="E56" i="4"/>
  <c r="E57" i="4"/>
  <c r="E71" i="4"/>
  <c r="E72" i="4"/>
  <c r="E73" i="4"/>
  <c r="E87" i="4"/>
  <c r="E103" i="4"/>
  <c r="E120" i="4"/>
  <c r="E150" i="4"/>
  <c r="E167" i="4"/>
  <c r="E180" i="4"/>
  <c r="E212" i="4"/>
  <c r="E501" i="4"/>
  <c r="E497" i="4"/>
  <c r="E493" i="4"/>
  <c r="E489" i="4"/>
  <c r="E485" i="4"/>
  <c r="E481" i="4"/>
  <c r="E477" i="4"/>
  <c r="E473" i="4"/>
  <c r="E469" i="4"/>
  <c r="E465" i="4"/>
  <c r="E461" i="4"/>
  <c r="E457" i="4"/>
  <c r="E453" i="4"/>
  <c r="E449" i="4"/>
  <c r="E445" i="4"/>
  <c r="E504" i="4"/>
  <c r="E502" i="4"/>
  <c r="E498" i="4"/>
  <c r="E494" i="4"/>
  <c r="E490" i="4"/>
  <c r="E486" i="4"/>
  <c r="E482" i="4"/>
  <c r="E478" i="4"/>
  <c r="E474" i="4"/>
  <c r="E470" i="4"/>
  <c r="E466" i="4"/>
  <c r="E462" i="4"/>
  <c r="E458" i="4"/>
  <c r="E454" i="4"/>
  <c r="E450" i="4"/>
  <c r="E446" i="4"/>
  <c r="E442" i="4"/>
  <c r="E438" i="4"/>
  <c r="E500" i="4"/>
  <c r="E492" i="4"/>
  <c r="E484" i="4"/>
  <c r="E476" i="4"/>
  <c r="E468" i="4"/>
  <c r="E460" i="4"/>
  <c r="E452" i="4"/>
  <c r="E444" i="4"/>
  <c r="E443" i="4"/>
  <c r="E434" i="4"/>
  <c r="E430" i="4"/>
  <c r="E426" i="4"/>
  <c r="E422" i="4"/>
  <c r="E418" i="4"/>
  <c r="E414" i="4"/>
  <c r="E410" i="4"/>
  <c r="E406" i="4"/>
  <c r="E503" i="4"/>
  <c r="E495" i="4"/>
  <c r="E487" i="4"/>
  <c r="E499" i="4"/>
  <c r="E491" i="4"/>
  <c r="E483" i="4"/>
  <c r="E475" i="4"/>
  <c r="E467" i="4"/>
  <c r="E459" i="4"/>
  <c r="E451" i="4"/>
  <c r="E441" i="4"/>
  <c r="E440" i="4"/>
  <c r="E439" i="4"/>
  <c r="E435" i="4"/>
  <c r="E431" i="4"/>
  <c r="E427" i="4"/>
  <c r="E423" i="4"/>
  <c r="E419" i="4"/>
  <c r="E415" i="4"/>
  <c r="E411" i="4"/>
  <c r="E407" i="4"/>
  <c r="E403" i="4"/>
  <c r="E399" i="4"/>
  <c r="E395" i="4"/>
  <c r="E391" i="4"/>
  <c r="E387" i="4"/>
  <c r="E383" i="4"/>
  <c r="E379" i="4"/>
  <c r="E375" i="4"/>
  <c r="E371" i="4"/>
  <c r="E367" i="4"/>
  <c r="E363" i="4"/>
  <c r="E496" i="4"/>
  <c r="E472" i="4"/>
  <c r="E456" i="4"/>
  <c r="E488" i="4"/>
  <c r="E471" i="4"/>
  <c r="E455" i="4"/>
  <c r="E433" i="4"/>
  <c r="E425" i="4"/>
  <c r="E417" i="4"/>
  <c r="E409" i="4"/>
  <c r="E402" i="4"/>
  <c r="E401" i="4"/>
  <c r="E400" i="4"/>
  <c r="E386" i="4"/>
  <c r="E385" i="4"/>
  <c r="E384" i="4"/>
  <c r="E370" i="4"/>
  <c r="E369" i="4"/>
  <c r="E368" i="4"/>
  <c r="E358" i="4"/>
  <c r="E479" i="4"/>
  <c r="E463" i="4"/>
  <c r="E447" i="4"/>
  <c r="E429" i="4"/>
  <c r="E421" i="4"/>
  <c r="E413" i="4"/>
  <c r="E405" i="4"/>
  <c r="E394" i="4"/>
  <c r="E393" i="4"/>
  <c r="E392" i="4"/>
  <c r="E378" i="4"/>
  <c r="E377" i="4"/>
  <c r="E376" i="4"/>
  <c r="E362" i="4"/>
  <c r="E361" i="4"/>
  <c r="E360" i="4"/>
  <c r="E356" i="4"/>
  <c r="E352" i="4"/>
  <c r="E348" i="4"/>
  <c r="E344" i="4"/>
  <c r="E340" i="4"/>
  <c r="E336" i="4"/>
  <c r="E332" i="4"/>
  <c r="E328" i="4"/>
  <c r="E324" i="4"/>
  <c r="E320" i="4"/>
  <c r="E316" i="4"/>
  <c r="E312" i="4"/>
  <c r="E308" i="4"/>
  <c r="E304" i="4"/>
  <c r="E300" i="4"/>
  <c r="E296" i="4"/>
  <c r="E480" i="4"/>
  <c r="E437" i="4"/>
  <c r="E424" i="4"/>
  <c r="E408" i="4"/>
  <c r="E398" i="4"/>
  <c r="E396" i="4"/>
  <c r="E464" i="4"/>
  <c r="E436" i="4"/>
  <c r="E420" i="4"/>
  <c r="E404" i="4"/>
  <c r="E389" i="4"/>
  <c r="E374" i="4"/>
  <c r="E372" i="4"/>
  <c r="E351" i="4"/>
  <c r="E350" i="4"/>
  <c r="E349" i="4"/>
  <c r="E335" i="4"/>
  <c r="E334" i="4"/>
  <c r="E333" i="4"/>
  <c r="E319" i="4"/>
  <c r="E318" i="4"/>
  <c r="E317" i="4"/>
  <c r="E303" i="4"/>
  <c r="E302" i="4"/>
  <c r="E428" i="4"/>
  <c r="E412" i="4"/>
  <c r="E390" i="4"/>
  <c r="E388" i="4"/>
  <c r="E373" i="4"/>
  <c r="E357" i="4"/>
  <c r="E343" i="4"/>
  <c r="E342" i="4"/>
  <c r="E341" i="4"/>
  <c r="E327" i="4"/>
  <c r="E326" i="4"/>
  <c r="E325" i="4"/>
  <c r="E311" i="4"/>
  <c r="E310" i="4"/>
  <c r="E309" i="4"/>
  <c r="E292" i="4"/>
  <c r="E288" i="4"/>
  <c r="E284" i="4"/>
  <c r="E280" i="4"/>
  <c r="E276" i="4"/>
  <c r="E272" i="4"/>
  <c r="E268" i="4"/>
  <c r="E264" i="4"/>
  <c r="E260" i="4"/>
  <c r="E256" i="4"/>
  <c r="E252" i="4"/>
  <c r="E248" i="4"/>
  <c r="E244" i="4"/>
  <c r="E240" i="4"/>
  <c r="E236" i="4"/>
  <c r="E382" i="4"/>
  <c r="E365" i="4"/>
  <c r="E355" i="4"/>
  <c r="E353" i="4"/>
  <c r="E338" i="4"/>
  <c r="E323" i="4"/>
  <c r="E321" i="4"/>
  <c r="E306" i="4"/>
  <c r="E283" i="4"/>
  <c r="E282" i="4"/>
  <c r="E281" i="4"/>
  <c r="E267" i="4"/>
  <c r="E266" i="4"/>
  <c r="E265" i="4"/>
  <c r="E251" i="4"/>
  <c r="E250" i="4"/>
  <c r="E249" i="4"/>
  <c r="E232" i="4"/>
  <c r="E381" i="4"/>
  <c r="E364" i="4"/>
  <c r="E346" i="4"/>
  <c r="E331" i="4"/>
  <c r="E329" i="4"/>
  <c r="E314" i="4"/>
  <c r="E297" i="4"/>
  <c r="E287" i="4"/>
  <c r="E286" i="4"/>
  <c r="E285" i="4"/>
  <c r="E271" i="4"/>
  <c r="E270" i="4"/>
  <c r="E269" i="4"/>
  <c r="E255" i="4"/>
  <c r="E254" i="4"/>
  <c r="E253" i="4"/>
  <c r="E239" i="4"/>
  <c r="E238" i="4"/>
  <c r="E237" i="4"/>
  <c r="E235" i="4"/>
  <c r="E231" i="4"/>
  <c r="E227" i="4"/>
  <c r="E223" i="4"/>
  <c r="E219" i="4"/>
  <c r="E215" i="4"/>
  <c r="E211" i="4"/>
  <c r="E207" i="4"/>
  <c r="E203" i="4"/>
  <c r="E199" i="4"/>
  <c r="E195" i="4"/>
  <c r="E191" i="4"/>
  <c r="E187" i="4"/>
  <c r="E183" i="4"/>
  <c r="E448" i="4"/>
  <c r="E416" i="4"/>
  <c r="E366" i="4"/>
  <c r="E347" i="4"/>
  <c r="E345" i="4"/>
  <c r="E330" i="4"/>
  <c r="E315" i="4"/>
  <c r="E313" i="4"/>
  <c r="E299" i="4"/>
  <c r="E295" i="4"/>
  <c r="E294" i="4"/>
  <c r="E293" i="4"/>
  <c r="E279" i="4"/>
  <c r="E278" i="4"/>
  <c r="E277" i="4"/>
  <c r="E263" i="4"/>
  <c r="E262" i="4"/>
  <c r="E261" i="4"/>
  <c r="E247" i="4"/>
  <c r="E246" i="4"/>
  <c r="E245" i="4"/>
  <c r="E233" i="4"/>
  <c r="E229" i="4"/>
  <c r="E225" i="4"/>
  <c r="E221" i="4"/>
  <c r="E217" i="4"/>
  <c r="E213" i="4"/>
  <c r="E209" i="4"/>
  <c r="E205" i="4"/>
  <c r="E201" i="4"/>
  <c r="E197" i="4"/>
  <c r="E193" i="4"/>
  <c r="E189" i="4"/>
  <c r="E185" i="4"/>
  <c r="E181" i="4"/>
  <c r="E177" i="4"/>
  <c r="E173" i="4"/>
  <c r="E169" i="4"/>
  <c r="E165" i="4"/>
  <c r="E161" i="4"/>
  <c r="E157" i="4"/>
  <c r="E153" i="4"/>
  <c r="E149" i="4"/>
  <c r="E145" i="4"/>
  <c r="E141" i="4"/>
  <c r="E137" i="4"/>
  <c r="E133" i="4"/>
  <c r="E129" i="4"/>
  <c r="E125" i="4"/>
  <c r="E121" i="4"/>
  <c r="E117" i="4"/>
  <c r="E397" i="4"/>
  <c r="E359" i="4"/>
  <c r="E307" i="4"/>
  <c r="E290" i="4"/>
  <c r="E273" i="4"/>
  <c r="E243" i="4"/>
  <c r="E224" i="4"/>
  <c r="E216" i="4"/>
  <c r="E208" i="4"/>
  <c r="E200" i="4"/>
  <c r="E192" i="4"/>
  <c r="E184" i="4"/>
  <c r="E176" i="4"/>
  <c r="E175" i="4"/>
  <c r="E174" i="4"/>
  <c r="E160" i="4"/>
  <c r="E159" i="4"/>
  <c r="E158" i="4"/>
  <c r="E144" i="4"/>
  <c r="E143" i="4"/>
  <c r="E142" i="4"/>
  <c r="E128" i="4"/>
  <c r="E127" i="4"/>
  <c r="E126" i="4"/>
  <c r="E113" i="4"/>
  <c r="E109" i="4"/>
  <c r="E105" i="4"/>
  <c r="E101" i="4"/>
  <c r="E97" i="4"/>
  <c r="E93" i="4"/>
  <c r="E89" i="4"/>
  <c r="E85" i="4"/>
  <c r="E81" i="4"/>
  <c r="E77" i="4"/>
  <c r="E432" i="4"/>
  <c r="E339" i="4"/>
  <c r="E322" i="4"/>
  <c r="E305" i="4"/>
  <c r="E298" i="4"/>
  <c r="E289" i="4"/>
  <c r="E259" i="4"/>
  <c r="E242" i="4"/>
  <c r="E234" i="4"/>
  <c r="E222" i="4"/>
  <c r="E214" i="4"/>
  <c r="E206" i="4"/>
  <c r="E198" i="4"/>
  <c r="E190" i="4"/>
  <c r="E182" i="4"/>
  <c r="E179" i="4"/>
  <c r="E178" i="4"/>
  <c r="E164" i="4"/>
  <c r="E163" i="4"/>
  <c r="E162" i="4"/>
  <c r="E148" i="4"/>
  <c r="E147" i="4"/>
  <c r="E146" i="4"/>
  <c r="E132" i="4"/>
  <c r="E131" i="4"/>
  <c r="E130" i="4"/>
  <c r="E116" i="4"/>
  <c r="E112" i="4"/>
  <c r="E108" i="4"/>
  <c r="E104" i="4"/>
  <c r="E100" i="4"/>
  <c r="E96" i="4"/>
  <c r="E92" i="4"/>
  <c r="E88" i="4"/>
  <c r="E84" i="4"/>
  <c r="E80" i="4"/>
  <c r="E76" i="4"/>
  <c r="E380" i="4"/>
  <c r="E301" i="4"/>
  <c r="E291" i="4"/>
  <c r="E274" i="4"/>
  <c r="E257" i="4"/>
  <c r="E226" i="4"/>
  <c r="E218" i="4"/>
  <c r="E210" i="4"/>
  <c r="E202" i="4"/>
  <c r="E194" i="4"/>
  <c r="E186" i="4"/>
  <c r="E172" i="4"/>
  <c r="E171" i="4"/>
  <c r="E170" i="4"/>
  <c r="E156" i="4"/>
  <c r="E155" i="4"/>
  <c r="E154" i="4"/>
  <c r="E140" i="4"/>
  <c r="E139" i="4"/>
  <c r="E138" i="4"/>
  <c r="E124" i="4"/>
  <c r="E123" i="4"/>
  <c r="E122" i="4"/>
  <c r="E114" i="4"/>
  <c r="E110" i="4"/>
  <c r="E106" i="4"/>
  <c r="E102" i="4"/>
  <c r="E98" i="4"/>
  <c r="E94" i="4"/>
  <c r="E90" i="4"/>
  <c r="E86" i="4"/>
  <c r="E82" i="4"/>
  <c r="E78" i="4"/>
  <c r="E74" i="4"/>
  <c r="E70" i="4"/>
  <c r="E66" i="4"/>
  <c r="E62" i="4"/>
  <c r="E58" i="4"/>
  <c r="E54" i="4"/>
  <c r="E50" i="4"/>
  <c r="E46" i="4"/>
  <c r="E42" i="4"/>
  <c r="E38" i="4"/>
  <c r="E34" i="4"/>
  <c r="E30" i="4"/>
  <c r="E26" i="4"/>
  <c r="E22" i="4"/>
  <c r="E18" i="4"/>
  <c r="E14" i="4"/>
  <c r="E10" i="4"/>
  <c r="E6" i="4"/>
  <c r="L2" i="4"/>
  <c r="E5" i="4"/>
  <c r="E19" i="4"/>
  <c r="E21" i="4"/>
  <c r="E36" i="4"/>
  <c r="A9" i="3"/>
  <c r="B15" i="2"/>
  <c r="B24" i="2" l="1"/>
  <c r="B27" i="2"/>
  <c r="C21" i="2"/>
  <c r="C20" i="2"/>
  <c r="C30" i="2"/>
  <c r="C29" i="2"/>
  <c r="D31" i="2"/>
  <c r="C28" i="2"/>
  <c r="B31" i="2"/>
  <c r="C27" i="2"/>
  <c r="F102" i="4"/>
  <c r="F359" i="4"/>
  <c r="F306" i="4"/>
  <c r="F357" i="4"/>
  <c r="F351" i="4"/>
  <c r="F413" i="4"/>
  <c r="F463" i="4"/>
  <c r="F435" i="4"/>
  <c r="F414" i="4"/>
  <c r="F73" i="4"/>
  <c r="B504" i="4"/>
  <c r="B500" i="4"/>
  <c r="B496" i="4"/>
  <c r="B492" i="4"/>
  <c r="B488" i="4"/>
  <c r="B484" i="4"/>
  <c r="F484" i="4" s="1"/>
  <c r="B480" i="4"/>
  <c r="F480" i="4" s="1"/>
  <c r="B476" i="4"/>
  <c r="B472" i="4"/>
  <c r="B468" i="4"/>
  <c r="B464" i="4"/>
  <c r="F464" i="4" s="1"/>
  <c r="B460" i="4"/>
  <c r="B456" i="4"/>
  <c r="B452" i="4"/>
  <c r="B448" i="4"/>
  <c r="F448" i="4" s="1"/>
  <c r="B501" i="4"/>
  <c r="B497" i="4"/>
  <c r="B493" i="4"/>
  <c r="B489" i="4"/>
  <c r="F489" i="4" s="1"/>
  <c r="B485" i="4"/>
  <c r="B481" i="4"/>
  <c r="B477" i="4"/>
  <c r="B473" i="4"/>
  <c r="B469" i="4"/>
  <c r="B465" i="4"/>
  <c r="B461" i="4"/>
  <c r="B457" i="4"/>
  <c r="B453" i="4"/>
  <c r="B449" i="4"/>
  <c r="B445" i="4"/>
  <c r="B441" i="4"/>
  <c r="F441" i="4" s="1"/>
  <c r="B437" i="4"/>
  <c r="B499" i="4"/>
  <c r="B491" i="4"/>
  <c r="B483" i="4"/>
  <c r="F483" i="4" s="1"/>
  <c r="B475" i="4"/>
  <c r="B467" i="4"/>
  <c r="B459" i="4"/>
  <c r="B451" i="4"/>
  <c r="B433" i="4"/>
  <c r="B429" i="4"/>
  <c r="B425" i="4"/>
  <c r="B421" i="4"/>
  <c r="B417" i="4"/>
  <c r="B413" i="4"/>
  <c r="B409" i="4"/>
  <c r="F409" i="4" s="1"/>
  <c r="B405" i="4"/>
  <c r="F405" i="4" s="1"/>
  <c r="B502" i="4"/>
  <c r="B494" i="4"/>
  <c r="B498" i="4"/>
  <c r="B490" i="4"/>
  <c r="B482" i="4"/>
  <c r="B474" i="4"/>
  <c r="B466" i="4"/>
  <c r="B458" i="4"/>
  <c r="B450" i="4"/>
  <c r="B434" i="4"/>
  <c r="B430" i="4"/>
  <c r="B426" i="4"/>
  <c r="F426" i="4" s="1"/>
  <c r="B422" i="4"/>
  <c r="B418" i="4"/>
  <c r="B414" i="4"/>
  <c r="B410" i="4"/>
  <c r="B406" i="4"/>
  <c r="B402" i="4"/>
  <c r="B398" i="4"/>
  <c r="B394" i="4"/>
  <c r="B390" i="4"/>
  <c r="B386" i="4"/>
  <c r="B382" i="4"/>
  <c r="B378" i="4"/>
  <c r="B374" i="4"/>
  <c r="B370" i="4"/>
  <c r="B366" i="4"/>
  <c r="B362" i="4"/>
  <c r="B503" i="4"/>
  <c r="B479" i="4"/>
  <c r="B463" i="4"/>
  <c r="B447" i="4"/>
  <c r="B444" i="4"/>
  <c r="B442" i="4"/>
  <c r="B495" i="4"/>
  <c r="B478" i="4"/>
  <c r="B462" i="4"/>
  <c r="B446" i="4"/>
  <c r="B439" i="4"/>
  <c r="B432" i="4"/>
  <c r="B424" i="4"/>
  <c r="B416" i="4"/>
  <c r="B408" i="4"/>
  <c r="B393" i="4"/>
  <c r="F393" i="4" s="1"/>
  <c r="B392" i="4"/>
  <c r="B391" i="4"/>
  <c r="B377" i="4"/>
  <c r="B376" i="4"/>
  <c r="B375" i="4"/>
  <c r="B361" i="4"/>
  <c r="B486" i="4"/>
  <c r="B470" i="4"/>
  <c r="B454" i="4"/>
  <c r="B440" i="4"/>
  <c r="B438" i="4"/>
  <c r="B436" i="4"/>
  <c r="F436" i="4" s="1"/>
  <c r="B428" i="4"/>
  <c r="B420" i="4"/>
  <c r="B412" i="4"/>
  <c r="B401" i="4"/>
  <c r="F401" i="4" s="1"/>
  <c r="B400" i="4"/>
  <c r="B399" i="4"/>
  <c r="B385" i="4"/>
  <c r="B384" i="4"/>
  <c r="B383" i="4"/>
  <c r="B369" i="4"/>
  <c r="B368" i="4"/>
  <c r="B367" i="4"/>
  <c r="B359" i="4"/>
  <c r="B355" i="4"/>
  <c r="B351" i="4"/>
  <c r="B347" i="4"/>
  <c r="B343" i="4"/>
  <c r="B339" i="4"/>
  <c r="B335" i="4"/>
  <c r="B331" i="4"/>
  <c r="B327" i="4"/>
  <c r="B323" i="4"/>
  <c r="B319" i="4"/>
  <c r="B315" i="4"/>
  <c r="F315" i="4" s="1"/>
  <c r="B311" i="4"/>
  <c r="B307" i="4"/>
  <c r="B303" i="4"/>
  <c r="B299" i="4"/>
  <c r="B455" i="4"/>
  <c r="B443" i="4"/>
  <c r="B431" i="4"/>
  <c r="B415" i="4"/>
  <c r="F415" i="4" s="1"/>
  <c r="B403" i="4"/>
  <c r="B427" i="4"/>
  <c r="B411" i="4"/>
  <c r="B396" i="4"/>
  <c r="B381" i="4"/>
  <c r="B379" i="4"/>
  <c r="B364" i="4"/>
  <c r="B360" i="4"/>
  <c r="F360" i="4" s="1"/>
  <c r="B357" i="4"/>
  <c r="B356" i="4"/>
  <c r="B342" i="4"/>
  <c r="B341" i="4"/>
  <c r="F341" i="4" s="1"/>
  <c r="B340" i="4"/>
  <c r="B326" i="4"/>
  <c r="B325" i="4"/>
  <c r="B324" i="4"/>
  <c r="B310" i="4"/>
  <c r="B309" i="4"/>
  <c r="B308" i="4"/>
  <c r="B471" i="4"/>
  <c r="F471" i="4" s="1"/>
  <c r="B435" i="4"/>
  <c r="B419" i="4"/>
  <c r="B397" i="4"/>
  <c r="B395" i="4"/>
  <c r="B380" i="4"/>
  <c r="B365" i="4"/>
  <c r="B363" i="4"/>
  <c r="B350" i="4"/>
  <c r="B349" i="4"/>
  <c r="B348" i="4"/>
  <c r="B334" i="4"/>
  <c r="B333" i="4"/>
  <c r="B332" i="4"/>
  <c r="B318" i="4"/>
  <c r="B317" i="4"/>
  <c r="B316" i="4"/>
  <c r="B302" i="4"/>
  <c r="B301" i="4"/>
  <c r="B300" i="4"/>
  <c r="B295" i="4"/>
  <c r="B291" i="4"/>
  <c r="B287" i="4"/>
  <c r="B283" i="4"/>
  <c r="B279" i="4"/>
  <c r="B275" i="4"/>
  <c r="B271" i="4"/>
  <c r="B267" i="4"/>
  <c r="B263" i="4"/>
  <c r="B259" i="4"/>
  <c r="B255" i="4"/>
  <c r="B251" i="4"/>
  <c r="B247" i="4"/>
  <c r="F247" i="4" s="1"/>
  <c r="B243" i="4"/>
  <c r="B239" i="4"/>
  <c r="B487" i="4"/>
  <c r="B387" i="4"/>
  <c r="F387" i="4" s="1"/>
  <c r="B358" i="4"/>
  <c r="B345" i="4"/>
  <c r="B330" i="4"/>
  <c r="B328" i="4"/>
  <c r="B313" i="4"/>
  <c r="B298" i="4"/>
  <c r="B290" i="4"/>
  <c r="B289" i="4"/>
  <c r="B288" i="4"/>
  <c r="B274" i="4"/>
  <c r="B273" i="4"/>
  <c r="B272" i="4"/>
  <c r="B258" i="4"/>
  <c r="B257" i="4"/>
  <c r="B256" i="4"/>
  <c r="B242" i="4"/>
  <c r="B241" i="4"/>
  <c r="B240" i="4"/>
  <c r="B235" i="4"/>
  <c r="B231" i="4"/>
  <c r="B423" i="4"/>
  <c r="B373" i="4"/>
  <c r="B353" i="4"/>
  <c r="B338" i="4"/>
  <c r="B336" i="4"/>
  <c r="B321" i="4"/>
  <c r="B306" i="4"/>
  <c r="B304" i="4"/>
  <c r="B294" i="4"/>
  <c r="B293" i="4"/>
  <c r="B292" i="4"/>
  <c r="B278" i="4"/>
  <c r="F278" i="4" s="1"/>
  <c r="B277" i="4"/>
  <c r="B276" i="4"/>
  <c r="B262" i="4"/>
  <c r="B261" i="4"/>
  <c r="B260" i="4"/>
  <c r="B246" i="4"/>
  <c r="B245" i="4"/>
  <c r="B244" i="4"/>
  <c r="B234" i="4"/>
  <c r="B230" i="4"/>
  <c r="B226" i="4"/>
  <c r="B222" i="4"/>
  <c r="B218" i="4"/>
  <c r="B214" i="4"/>
  <c r="B210" i="4"/>
  <c r="B206" i="4"/>
  <c r="B202" i="4"/>
  <c r="B198" i="4"/>
  <c r="B194" i="4"/>
  <c r="B190" i="4"/>
  <c r="F190" i="4" s="1"/>
  <c r="B186" i="4"/>
  <c r="B182" i="4"/>
  <c r="B404" i="4"/>
  <c r="B388" i="4"/>
  <c r="F388" i="4" s="1"/>
  <c r="B371" i="4"/>
  <c r="B354" i="4"/>
  <c r="B352" i="4"/>
  <c r="B337" i="4"/>
  <c r="B322" i="4"/>
  <c r="B320" i="4"/>
  <c r="B305" i="4"/>
  <c r="B297" i="4"/>
  <c r="B286" i="4"/>
  <c r="B285" i="4"/>
  <c r="B284" i="4"/>
  <c r="B270" i="4"/>
  <c r="B269" i="4"/>
  <c r="B268" i="4"/>
  <c r="B254" i="4"/>
  <c r="F254" i="4" s="1"/>
  <c r="B253" i="4"/>
  <c r="B252" i="4"/>
  <c r="B238" i="4"/>
  <c r="B237" i="4"/>
  <c r="B236" i="4"/>
  <c r="F236" i="4" s="1"/>
  <c r="B232" i="4"/>
  <c r="B228" i="4"/>
  <c r="B224" i="4"/>
  <c r="B220" i="4"/>
  <c r="B216" i="4"/>
  <c r="B212" i="4"/>
  <c r="B208" i="4"/>
  <c r="B204" i="4"/>
  <c r="B200" i="4"/>
  <c r="B196" i="4"/>
  <c r="B192" i="4"/>
  <c r="F192" i="4" s="1"/>
  <c r="B188" i="4"/>
  <c r="F188" i="4" s="1"/>
  <c r="B184" i="4"/>
  <c r="B180" i="4"/>
  <c r="B176" i="4"/>
  <c r="B172" i="4"/>
  <c r="B168" i="4"/>
  <c r="B164" i="4"/>
  <c r="B160" i="4"/>
  <c r="B156" i="4"/>
  <c r="F156" i="4" s="1"/>
  <c r="B152" i="4"/>
  <c r="B148" i="4"/>
  <c r="B144" i="4"/>
  <c r="B140" i="4"/>
  <c r="B136" i="4"/>
  <c r="B132" i="4"/>
  <c r="B128" i="4"/>
  <c r="B124" i="4"/>
  <c r="B120" i="4"/>
  <c r="B282" i="4"/>
  <c r="B265" i="4"/>
  <c r="B248" i="4"/>
  <c r="B223" i="4"/>
  <c r="B215" i="4"/>
  <c r="B207" i="4"/>
  <c r="B199" i="4"/>
  <c r="B191" i="4"/>
  <c r="B183" i="4"/>
  <c r="B167" i="4"/>
  <c r="F167" i="4" s="1"/>
  <c r="B166" i="4"/>
  <c r="B165" i="4"/>
  <c r="B151" i="4"/>
  <c r="B150" i="4"/>
  <c r="B149" i="4"/>
  <c r="B135" i="4"/>
  <c r="B134" i="4"/>
  <c r="B133" i="4"/>
  <c r="B119" i="4"/>
  <c r="B118" i="4"/>
  <c r="B117" i="4"/>
  <c r="B116" i="4"/>
  <c r="B112" i="4"/>
  <c r="B108" i="4"/>
  <c r="B104" i="4"/>
  <c r="B100" i="4"/>
  <c r="B96" i="4"/>
  <c r="B92" i="4"/>
  <c r="B88" i="4"/>
  <c r="B84" i="4"/>
  <c r="F84" i="4" s="1"/>
  <c r="B80" i="4"/>
  <c r="B76" i="4"/>
  <c r="B389" i="4"/>
  <c r="B372" i="4"/>
  <c r="B314" i="4"/>
  <c r="F314" i="4" s="1"/>
  <c r="B281" i="4"/>
  <c r="B264" i="4"/>
  <c r="B229" i="4"/>
  <c r="B221" i="4"/>
  <c r="B213" i="4"/>
  <c r="B205" i="4"/>
  <c r="B197" i="4"/>
  <c r="B189" i="4"/>
  <c r="B181" i="4"/>
  <c r="B171" i="4"/>
  <c r="B170" i="4"/>
  <c r="F170" i="4" s="1"/>
  <c r="B169" i="4"/>
  <c r="F169" i="4" s="1"/>
  <c r="B155" i="4"/>
  <c r="B154" i="4"/>
  <c r="B153" i="4"/>
  <c r="B139" i="4"/>
  <c r="B138" i="4"/>
  <c r="B137" i="4"/>
  <c r="F137" i="4" s="1"/>
  <c r="B123" i="4"/>
  <c r="B122" i="4"/>
  <c r="F122" i="4" s="1"/>
  <c r="B121" i="4"/>
  <c r="B115" i="4"/>
  <c r="B111" i="4"/>
  <c r="B107" i="4"/>
  <c r="F107" i="4" s="1"/>
  <c r="B103" i="4"/>
  <c r="B99" i="4"/>
  <c r="B95" i="4"/>
  <c r="B91" i="4"/>
  <c r="B87" i="4"/>
  <c r="B83" i="4"/>
  <c r="B79" i="4"/>
  <c r="B75" i="4"/>
  <c r="B407" i="4"/>
  <c r="B344" i="4"/>
  <c r="B296" i="4"/>
  <c r="B266" i="4"/>
  <c r="B249" i="4"/>
  <c r="B233" i="4"/>
  <c r="B225" i="4"/>
  <c r="F225" i="4" s="1"/>
  <c r="B217" i="4"/>
  <c r="B209" i="4"/>
  <c r="B201" i="4"/>
  <c r="F201" i="4" s="1"/>
  <c r="B193" i="4"/>
  <c r="B185" i="4"/>
  <c r="B179" i="4"/>
  <c r="B178" i="4"/>
  <c r="B177" i="4"/>
  <c r="B163" i="4"/>
  <c r="F163" i="4" s="1"/>
  <c r="B162" i="4"/>
  <c r="B161" i="4"/>
  <c r="B147" i="4"/>
  <c r="B146" i="4"/>
  <c r="B145" i="4"/>
  <c r="B131" i="4"/>
  <c r="F131" i="4" s="1"/>
  <c r="B130" i="4"/>
  <c r="B129" i="4"/>
  <c r="F129" i="4" s="1"/>
  <c r="B113" i="4"/>
  <c r="B109" i="4"/>
  <c r="B105" i="4"/>
  <c r="F105" i="4" s="1"/>
  <c r="B101" i="4"/>
  <c r="F101" i="4" s="1"/>
  <c r="B97" i="4"/>
  <c r="B93" i="4"/>
  <c r="B89" i="4"/>
  <c r="B85" i="4"/>
  <c r="B81" i="4"/>
  <c r="B77" i="4"/>
  <c r="F77" i="4" s="1"/>
  <c r="B73" i="4"/>
  <c r="B69" i="4"/>
  <c r="F69" i="4" s="1"/>
  <c r="B65" i="4"/>
  <c r="B61" i="4"/>
  <c r="B57" i="4"/>
  <c r="B53" i="4"/>
  <c r="F53" i="4" s="1"/>
  <c r="B49" i="4"/>
  <c r="B45" i="4"/>
  <c r="B41" i="4"/>
  <c r="B37" i="4"/>
  <c r="B33" i="4"/>
  <c r="B29" i="4"/>
  <c r="B25" i="4"/>
  <c r="B21" i="4"/>
  <c r="B17" i="4"/>
  <c r="B13" i="4"/>
  <c r="B9" i="4"/>
  <c r="B5" i="4"/>
  <c r="B346" i="4"/>
  <c r="B59" i="4"/>
  <c r="B43" i="4"/>
  <c r="B27" i="4"/>
  <c r="B11" i="4"/>
  <c r="B329" i="4"/>
  <c r="B158" i="4"/>
  <c r="B68" i="4"/>
  <c r="B50" i="4"/>
  <c r="B20" i="4"/>
  <c r="B250" i="4"/>
  <c r="B219" i="4"/>
  <c r="B187" i="4"/>
  <c r="B159" i="4"/>
  <c r="B142" i="4"/>
  <c r="F142" i="4" s="1"/>
  <c r="B125" i="4"/>
  <c r="F125" i="4" s="1"/>
  <c r="B110" i="4"/>
  <c r="B94" i="4"/>
  <c r="B78" i="4"/>
  <c r="B64" i="4"/>
  <c r="B63" i="4"/>
  <c r="B62" i="4"/>
  <c r="B48" i="4"/>
  <c r="F48" i="4" s="1"/>
  <c r="B47" i="4"/>
  <c r="B46" i="4"/>
  <c r="B32" i="4"/>
  <c r="B31" i="4"/>
  <c r="B30" i="4"/>
  <c r="B15" i="4"/>
  <c r="B90" i="4"/>
  <c r="B66" i="4"/>
  <c r="F66" i="4" s="1"/>
  <c r="B51" i="4"/>
  <c r="B36" i="4"/>
  <c r="B34" i="4"/>
  <c r="B19" i="4"/>
  <c r="B4" i="4"/>
  <c r="F4" i="4" s="1"/>
  <c r="B203" i="4"/>
  <c r="B174" i="4"/>
  <c r="B157" i="4"/>
  <c r="B127" i="4"/>
  <c r="B102" i="4"/>
  <c r="B86" i="4"/>
  <c r="F86" i="4" s="1"/>
  <c r="B72" i="4"/>
  <c r="F72" i="4" s="1"/>
  <c r="B71" i="4"/>
  <c r="F71" i="4" s="1"/>
  <c r="B70" i="4"/>
  <c r="B56" i="4"/>
  <c r="B55" i="4"/>
  <c r="B54" i="4"/>
  <c r="B40" i="4"/>
  <c r="B39" i="4"/>
  <c r="B38" i="4"/>
  <c r="B24" i="4"/>
  <c r="B23" i="4"/>
  <c r="B22" i="4"/>
  <c r="B8" i="4"/>
  <c r="B7" i="4"/>
  <c r="B6" i="4"/>
  <c r="M2" i="4"/>
  <c r="B312" i="4"/>
  <c r="B227" i="4"/>
  <c r="B195" i="4"/>
  <c r="B173" i="4"/>
  <c r="B143" i="4"/>
  <c r="B126" i="4"/>
  <c r="B114" i="4"/>
  <c r="B98" i="4"/>
  <c r="B82" i="4"/>
  <c r="B74" i="4"/>
  <c r="B60" i="4"/>
  <c r="B58" i="4"/>
  <c r="B44" i="4"/>
  <c r="B42" i="4"/>
  <c r="B28" i="4"/>
  <c r="B26" i="4"/>
  <c r="F26" i="4" s="1"/>
  <c r="B12" i="4"/>
  <c r="B10" i="4"/>
  <c r="B2" i="4"/>
  <c r="B16" i="4"/>
  <c r="B14" i="4"/>
  <c r="B280" i="4"/>
  <c r="B211" i="4"/>
  <c r="B175" i="4"/>
  <c r="F175" i="4" s="1"/>
  <c r="B141" i="4"/>
  <c r="F141" i="4" s="1"/>
  <c r="B106" i="4"/>
  <c r="B67" i="4"/>
  <c r="B52" i="4"/>
  <c r="B35" i="4"/>
  <c r="B18" i="4"/>
  <c r="B3" i="4"/>
  <c r="F34" i="4"/>
  <c r="F50" i="4"/>
  <c r="F98" i="4"/>
  <c r="F114" i="4"/>
  <c r="F138" i="4"/>
  <c r="F155" i="4"/>
  <c r="F210" i="4"/>
  <c r="F274" i="4"/>
  <c r="F76" i="4"/>
  <c r="F92" i="4"/>
  <c r="F108" i="4"/>
  <c r="F148" i="4"/>
  <c r="F178" i="4"/>
  <c r="F198" i="4"/>
  <c r="F234" i="4"/>
  <c r="F298" i="4"/>
  <c r="F89" i="4"/>
  <c r="F144" i="4"/>
  <c r="F174" i="4"/>
  <c r="F224" i="4"/>
  <c r="F307" i="4"/>
  <c r="F121" i="4"/>
  <c r="F153" i="4"/>
  <c r="F185" i="4"/>
  <c r="F233" i="4"/>
  <c r="F261" i="4"/>
  <c r="F330" i="4"/>
  <c r="F416" i="4"/>
  <c r="F191" i="4"/>
  <c r="F207" i="4"/>
  <c r="F223" i="4"/>
  <c r="F237" i="4"/>
  <c r="F271" i="4"/>
  <c r="F346" i="4"/>
  <c r="F249" i="4"/>
  <c r="F283" i="4"/>
  <c r="F338" i="4"/>
  <c r="F382" i="4"/>
  <c r="F264" i="4"/>
  <c r="F280" i="4"/>
  <c r="F309" i="4"/>
  <c r="F326" i="4"/>
  <c r="F343" i="4"/>
  <c r="F390" i="4"/>
  <c r="F303" i="4"/>
  <c r="F389" i="4"/>
  <c r="F424" i="4"/>
  <c r="F300" i="4"/>
  <c r="F316" i="4"/>
  <c r="F332" i="4"/>
  <c r="F348" i="4"/>
  <c r="F361" i="4"/>
  <c r="F378" i="4"/>
  <c r="F368" i="4"/>
  <c r="F385" i="4"/>
  <c r="F402" i="4"/>
  <c r="F433" i="4"/>
  <c r="F456" i="4"/>
  <c r="F367" i="4"/>
  <c r="F383" i="4"/>
  <c r="F399" i="4"/>
  <c r="F431" i="4"/>
  <c r="F475" i="4"/>
  <c r="F487" i="4"/>
  <c r="F410" i="4"/>
  <c r="F444" i="4"/>
  <c r="F476" i="4"/>
  <c r="F438" i="4"/>
  <c r="F454" i="4"/>
  <c r="F486" i="4"/>
  <c r="F502" i="4"/>
  <c r="F453" i="4"/>
  <c r="F469" i="4"/>
  <c r="F485" i="4"/>
  <c r="F501" i="4"/>
  <c r="F87" i="4"/>
  <c r="F57" i="4"/>
  <c r="F40" i="4"/>
  <c r="F354" i="4"/>
  <c r="F228" i="4"/>
  <c r="F118" i="4"/>
  <c r="F65" i="4"/>
  <c r="F31" i="4"/>
  <c r="F134" i="4"/>
  <c r="F52" i="4"/>
  <c r="F20" i="4"/>
  <c r="F22" i="4"/>
  <c r="F218" i="4"/>
  <c r="F96" i="4"/>
  <c r="F179" i="4"/>
  <c r="F305" i="4"/>
  <c r="F109" i="4"/>
  <c r="F200" i="4"/>
  <c r="F157" i="4"/>
  <c r="F205" i="4"/>
  <c r="F262" i="4"/>
  <c r="F345" i="4"/>
  <c r="F285" i="4"/>
  <c r="F250" i="4"/>
  <c r="F353" i="4"/>
  <c r="F268" i="4"/>
  <c r="F327" i="4"/>
  <c r="F412" i="4"/>
  <c r="F334" i="4"/>
  <c r="F320" i="4"/>
  <c r="F362" i="4"/>
  <c r="F369" i="4"/>
  <c r="F455" i="4"/>
  <c r="F419" i="4"/>
  <c r="F452" i="4"/>
  <c r="F490" i="4"/>
  <c r="F150" i="4"/>
  <c r="F39" i="4"/>
  <c r="F111" i="4"/>
  <c r="F19" i="4"/>
  <c r="F10" i="4"/>
  <c r="F58" i="4"/>
  <c r="F74" i="4"/>
  <c r="F90" i="4"/>
  <c r="F123" i="4"/>
  <c r="F140" i="4"/>
  <c r="F194" i="4"/>
  <c r="F226" i="4"/>
  <c r="F301" i="4"/>
  <c r="F100" i="4"/>
  <c r="F116" i="4"/>
  <c r="F146" i="4"/>
  <c r="F182" i="4"/>
  <c r="F214" i="4"/>
  <c r="F259" i="4"/>
  <c r="F322" i="4"/>
  <c r="F81" i="4"/>
  <c r="F97" i="4"/>
  <c r="F113" i="4"/>
  <c r="F159" i="4"/>
  <c r="F176" i="4"/>
  <c r="F208" i="4"/>
  <c r="F273" i="4"/>
  <c r="F397" i="4"/>
  <c r="F145" i="4"/>
  <c r="F161" i="4"/>
  <c r="F177" i="4"/>
  <c r="F193" i="4"/>
  <c r="F209" i="4"/>
  <c r="F246" i="4"/>
  <c r="F293" i="4"/>
  <c r="F313" i="4"/>
  <c r="F183" i="4"/>
  <c r="F199" i="4"/>
  <c r="F215" i="4"/>
  <c r="F239" i="4"/>
  <c r="F269" i="4"/>
  <c r="F286" i="4"/>
  <c r="F329" i="4"/>
  <c r="F381" i="4"/>
  <c r="F251" i="4"/>
  <c r="F281" i="4"/>
  <c r="F321" i="4"/>
  <c r="F355" i="4"/>
  <c r="F240" i="4"/>
  <c r="F256" i="4"/>
  <c r="F288" i="4"/>
  <c r="F311" i="4"/>
  <c r="F373" i="4"/>
  <c r="F428" i="4"/>
  <c r="F318" i="4"/>
  <c r="F335" i="4"/>
  <c r="F372" i="4"/>
  <c r="F420" i="4"/>
  <c r="F398" i="4"/>
  <c r="F308" i="4"/>
  <c r="F340" i="4"/>
  <c r="F356" i="4"/>
  <c r="F421" i="4"/>
  <c r="F479" i="4"/>
  <c r="F370" i="4"/>
  <c r="F400" i="4"/>
  <c r="F417" i="4"/>
  <c r="F375" i="4"/>
  <c r="F391" i="4"/>
  <c r="F407" i="4"/>
  <c r="F423" i="4"/>
  <c r="F439" i="4"/>
  <c r="F459" i="4"/>
  <c r="F491" i="4"/>
  <c r="F503" i="4"/>
  <c r="F418" i="4"/>
  <c r="F434" i="4"/>
  <c r="F460" i="4"/>
  <c r="F492" i="4"/>
  <c r="F446" i="4"/>
  <c r="F462" i="4"/>
  <c r="F494" i="4"/>
  <c r="F445" i="4"/>
  <c r="F461" i="4"/>
  <c r="F477" i="4"/>
  <c r="F493" i="4"/>
  <c r="F212" i="4"/>
  <c r="F120" i="4"/>
  <c r="F55" i="4"/>
  <c r="F258" i="4"/>
  <c r="F152" i="4"/>
  <c r="F95" i="4"/>
  <c r="F63" i="4"/>
  <c r="F33" i="4"/>
  <c r="F16" i="4"/>
  <c r="F168" i="4"/>
  <c r="F67" i="4"/>
  <c r="F37" i="4"/>
  <c r="F3" i="4"/>
  <c r="F6" i="4"/>
  <c r="F38" i="4"/>
  <c r="F70" i="4"/>
  <c r="F186" i="4"/>
  <c r="F132" i="4"/>
  <c r="F162" i="4"/>
  <c r="F93" i="4"/>
  <c r="F158" i="4"/>
  <c r="F243" i="4"/>
  <c r="F173" i="4"/>
  <c r="F279" i="4"/>
  <c r="F211" i="4"/>
  <c r="F255" i="4"/>
  <c r="F364" i="4"/>
  <c r="F267" i="4"/>
  <c r="F284" i="4"/>
  <c r="F317" i="4"/>
  <c r="F404" i="4"/>
  <c r="F437" i="4"/>
  <c r="F336" i="4"/>
  <c r="F392" i="4"/>
  <c r="F386" i="4"/>
  <c r="F472" i="4"/>
  <c r="F403" i="4"/>
  <c r="F451" i="4"/>
  <c r="F495" i="4"/>
  <c r="F430" i="4"/>
  <c r="F442" i="4"/>
  <c r="F504" i="4"/>
  <c r="F56" i="4"/>
  <c r="F196" i="4"/>
  <c r="F64" i="4"/>
  <c r="F17" i="4"/>
  <c r="F14" i="4"/>
  <c r="F46" i="4"/>
  <c r="F62" i="4"/>
  <c r="F78" i="4"/>
  <c r="F94" i="4"/>
  <c r="F110" i="4"/>
  <c r="F154" i="4"/>
  <c r="F171" i="4"/>
  <c r="F202" i="4"/>
  <c r="F257" i="4"/>
  <c r="F380" i="4"/>
  <c r="F88" i="4"/>
  <c r="F104" i="4"/>
  <c r="F130" i="4"/>
  <c r="F147" i="4"/>
  <c r="F164" i="4"/>
  <c r="F289" i="4"/>
  <c r="F339" i="4"/>
  <c r="F126" i="4"/>
  <c r="F143" i="4"/>
  <c r="F160" i="4"/>
  <c r="F184" i="4"/>
  <c r="F216" i="4"/>
  <c r="F290" i="4"/>
  <c r="F117" i="4"/>
  <c r="F133" i="4"/>
  <c r="F149" i="4"/>
  <c r="F165" i="4"/>
  <c r="F181" i="4"/>
  <c r="F197" i="4"/>
  <c r="F213" i="4"/>
  <c r="F229" i="4"/>
  <c r="F277" i="4"/>
  <c r="F294" i="4"/>
  <c r="F366" i="4"/>
  <c r="F187" i="4"/>
  <c r="F203" i="4"/>
  <c r="F235" i="4"/>
  <c r="F270" i="4"/>
  <c r="F287" i="4"/>
  <c r="F232" i="4"/>
  <c r="F265" i="4"/>
  <c r="F282" i="4"/>
  <c r="F323" i="4"/>
  <c r="F365" i="4"/>
  <c r="F244" i="4"/>
  <c r="F260" i="4"/>
  <c r="F276" i="4"/>
  <c r="F292" i="4"/>
  <c r="F325" i="4"/>
  <c r="F342" i="4"/>
  <c r="F302" i="4"/>
  <c r="F319" i="4"/>
  <c r="F349" i="4"/>
  <c r="F374" i="4"/>
  <c r="F408" i="4"/>
  <c r="F296" i="4"/>
  <c r="F312" i="4"/>
  <c r="F344" i="4"/>
  <c r="F377" i="4"/>
  <c r="F429" i="4"/>
  <c r="F358" i="4"/>
  <c r="F425" i="4"/>
  <c r="F488" i="4"/>
  <c r="F363" i="4"/>
  <c r="F379" i="4"/>
  <c r="F395" i="4"/>
  <c r="F411" i="4"/>
  <c r="F427" i="4"/>
  <c r="F440" i="4"/>
  <c r="F467" i="4"/>
  <c r="F499" i="4"/>
  <c r="F406" i="4"/>
  <c r="F422" i="4"/>
  <c r="F443" i="4"/>
  <c r="F468" i="4"/>
  <c r="F500" i="4"/>
  <c r="F450" i="4"/>
  <c r="F466" i="4"/>
  <c r="F482" i="4"/>
  <c r="F498" i="4"/>
  <c r="F449" i="4"/>
  <c r="F465" i="4"/>
  <c r="F481" i="4"/>
  <c r="F497" i="4"/>
  <c r="F180" i="4"/>
  <c r="F103" i="4"/>
  <c r="F41" i="4"/>
  <c r="F241" i="4"/>
  <c r="F135" i="4"/>
  <c r="F79" i="4"/>
  <c r="F49" i="4"/>
  <c r="F32" i="4"/>
  <c r="F15" i="4"/>
  <c r="F151" i="4"/>
  <c r="F35" i="4"/>
  <c r="B25" i="2"/>
  <c r="C23" i="2"/>
  <c r="C22" i="2"/>
  <c r="C24" i="2"/>
  <c r="D25" i="2"/>
  <c r="B42" i="2" l="1"/>
  <c r="C31" i="2"/>
  <c r="C42" i="2" s="1"/>
  <c r="D280" i="4"/>
  <c r="C280" i="4"/>
  <c r="D74" i="4"/>
  <c r="C74" i="4"/>
  <c r="C24" i="4"/>
  <c r="D24" i="4"/>
  <c r="F24" i="4"/>
  <c r="C127" i="4"/>
  <c r="D127" i="4"/>
  <c r="D30" i="4"/>
  <c r="C30" i="4"/>
  <c r="C219" i="4"/>
  <c r="D219" i="4"/>
  <c r="C5" i="4"/>
  <c r="D5" i="4"/>
  <c r="C37" i="4"/>
  <c r="D37" i="4"/>
  <c r="D85" i="4"/>
  <c r="C85" i="4"/>
  <c r="D146" i="4"/>
  <c r="C146" i="4"/>
  <c r="C217" i="4"/>
  <c r="D217" i="4"/>
  <c r="C91" i="4"/>
  <c r="D91" i="4"/>
  <c r="C139" i="4"/>
  <c r="D139" i="4"/>
  <c r="C221" i="4"/>
  <c r="D221" i="4"/>
  <c r="C96" i="4"/>
  <c r="D96" i="4"/>
  <c r="D166" i="4"/>
  <c r="C166" i="4"/>
  <c r="F166" i="4"/>
  <c r="D124" i="4"/>
  <c r="C124" i="4"/>
  <c r="D172" i="4"/>
  <c r="C172" i="4"/>
  <c r="D220" i="4"/>
  <c r="C220" i="4"/>
  <c r="D253" i="4"/>
  <c r="C253" i="4"/>
  <c r="D337" i="4"/>
  <c r="C337" i="4"/>
  <c r="F337" i="4"/>
  <c r="D206" i="4"/>
  <c r="C206" i="4"/>
  <c r="D261" i="4"/>
  <c r="C261" i="4"/>
  <c r="C304" i="4"/>
  <c r="D304" i="4"/>
  <c r="C231" i="4"/>
  <c r="D231" i="4"/>
  <c r="D289" i="4"/>
  <c r="C289" i="4"/>
  <c r="D263" i="4"/>
  <c r="C263" i="4"/>
  <c r="D316" i="4"/>
  <c r="C316" i="4"/>
  <c r="C395" i="4"/>
  <c r="D395" i="4"/>
  <c r="D324" i="4"/>
  <c r="C324" i="4"/>
  <c r="D396" i="4"/>
  <c r="C396" i="4"/>
  <c r="D331" i="4"/>
  <c r="C331" i="4"/>
  <c r="D384" i="4"/>
  <c r="C384" i="4"/>
  <c r="D376" i="4"/>
  <c r="C376" i="4"/>
  <c r="D478" i="4"/>
  <c r="C478" i="4"/>
  <c r="C394" i="4"/>
  <c r="D394" i="4"/>
  <c r="D458" i="4"/>
  <c r="C458" i="4"/>
  <c r="C451" i="4"/>
  <c r="D451" i="4"/>
  <c r="D473" i="4"/>
  <c r="C473" i="4"/>
  <c r="F206" i="4"/>
  <c r="F384" i="4"/>
  <c r="F331" i="4"/>
  <c r="F91" i="4"/>
  <c r="F376" i="4"/>
  <c r="F219" i="4"/>
  <c r="F30" i="4"/>
  <c r="F478" i="4"/>
  <c r="F473" i="4"/>
  <c r="D3" i="4"/>
  <c r="C3" i="4"/>
  <c r="D67" i="4"/>
  <c r="C67" i="4"/>
  <c r="C211" i="4"/>
  <c r="D211" i="4"/>
  <c r="D2" i="4"/>
  <c r="C2" i="4"/>
  <c r="F2" i="4"/>
  <c r="C28" i="4"/>
  <c r="D28" i="4"/>
  <c r="F28" i="4"/>
  <c r="C60" i="4"/>
  <c r="D60" i="4"/>
  <c r="F60" i="4"/>
  <c r="D114" i="4"/>
  <c r="C114" i="4"/>
  <c r="C195" i="4"/>
  <c r="D195" i="4"/>
  <c r="C6" i="4"/>
  <c r="D6" i="4"/>
  <c r="D23" i="4"/>
  <c r="C23" i="4"/>
  <c r="F23" i="4"/>
  <c r="C40" i="4"/>
  <c r="D40" i="4"/>
  <c r="D70" i="4"/>
  <c r="C70" i="4"/>
  <c r="D102" i="4"/>
  <c r="C102" i="4"/>
  <c r="C203" i="4"/>
  <c r="D203" i="4"/>
  <c r="C36" i="4"/>
  <c r="D36" i="4"/>
  <c r="D15" i="4"/>
  <c r="C15" i="4"/>
  <c r="C46" i="4"/>
  <c r="D46" i="4"/>
  <c r="D63" i="4"/>
  <c r="C63" i="4"/>
  <c r="D110" i="4"/>
  <c r="C110" i="4"/>
  <c r="C187" i="4"/>
  <c r="D187" i="4"/>
  <c r="D50" i="4"/>
  <c r="C50" i="4"/>
  <c r="D11" i="4"/>
  <c r="C11" i="4"/>
  <c r="F11" i="4"/>
  <c r="C346" i="4"/>
  <c r="D346" i="4"/>
  <c r="D17" i="4"/>
  <c r="C17" i="4"/>
  <c r="D33" i="4"/>
  <c r="C33" i="4"/>
  <c r="C49" i="4"/>
  <c r="D49" i="4"/>
  <c r="C65" i="4"/>
  <c r="D65" i="4"/>
  <c r="D81" i="4"/>
  <c r="C81" i="4"/>
  <c r="D97" i="4"/>
  <c r="C97" i="4"/>
  <c r="D113" i="4"/>
  <c r="C113" i="4"/>
  <c r="D145" i="4"/>
  <c r="C145" i="4"/>
  <c r="D162" i="4"/>
  <c r="C162" i="4"/>
  <c r="C179" i="4"/>
  <c r="D179" i="4"/>
  <c r="C209" i="4"/>
  <c r="D209" i="4"/>
  <c r="D249" i="4"/>
  <c r="C249" i="4"/>
  <c r="D407" i="4"/>
  <c r="C407" i="4"/>
  <c r="C87" i="4"/>
  <c r="D87" i="4"/>
  <c r="C103" i="4"/>
  <c r="D103" i="4"/>
  <c r="C121" i="4"/>
  <c r="D121" i="4"/>
  <c r="D138" i="4"/>
  <c r="C138" i="4"/>
  <c r="C155" i="4"/>
  <c r="D155" i="4"/>
  <c r="C181" i="4"/>
  <c r="D181" i="4"/>
  <c r="C213" i="4"/>
  <c r="D213" i="4"/>
  <c r="D281" i="4"/>
  <c r="C281" i="4"/>
  <c r="C76" i="4"/>
  <c r="D76" i="4"/>
  <c r="C92" i="4"/>
  <c r="D92" i="4"/>
  <c r="C108" i="4"/>
  <c r="D108" i="4"/>
  <c r="D118" i="4"/>
  <c r="C118" i="4"/>
  <c r="C135" i="4"/>
  <c r="D135" i="4"/>
  <c r="C165" i="4"/>
  <c r="D165" i="4"/>
  <c r="C191" i="4"/>
  <c r="D191" i="4"/>
  <c r="C223" i="4"/>
  <c r="D223" i="4"/>
  <c r="C120" i="4"/>
  <c r="D120" i="4"/>
  <c r="C136" i="4"/>
  <c r="D136" i="4"/>
  <c r="F136" i="4"/>
  <c r="C152" i="4"/>
  <c r="D152" i="4"/>
  <c r="C168" i="4"/>
  <c r="D168" i="4"/>
  <c r="D184" i="4"/>
  <c r="C184" i="4"/>
  <c r="D200" i="4"/>
  <c r="C200" i="4"/>
  <c r="D216" i="4"/>
  <c r="C216" i="4"/>
  <c r="D232" i="4"/>
  <c r="C232" i="4"/>
  <c r="D252" i="4"/>
  <c r="C252" i="4"/>
  <c r="D269" i="4"/>
  <c r="C269" i="4"/>
  <c r="C286" i="4"/>
  <c r="D286" i="4"/>
  <c r="C322" i="4"/>
  <c r="D322" i="4"/>
  <c r="C371" i="4"/>
  <c r="D371" i="4"/>
  <c r="D186" i="4"/>
  <c r="C186" i="4"/>
  <c r="D202" i="4"/>
  <c r="C202" i="4"/>
  <c r="D218" i="4"/>
  <c r="C218" i="4"/>
  <c r="C234" i="4"/>
  <c r="D234" i="4"/>
  <c r="C260" i="4"/>
  <c r="D260" i="4"/>
  <c r="D277" i="4"/>
  <c r="C277" i="4"/>
  <c r="C294" i="4"/>
  <c r="D294" i="4"/>
  <c r="C336" i="4"/>
  <c r="D336" i="4"/>
  <c r="D423" i="4"/>
  <c r="C423" i="4"/>
  <c r="D241" i="4"/>
  <c r="C241" i="4"/>
  <c r="C258" i="4"/>
  <c r="D258" i="4"/>
  <c r="C288" i="4"/>
  <c r="D288" i="4"/>
  <c r="D313" i="4"/>
  <c r="C313" i="4"/>
  <c r="C358" i="4"/>
  <c r="D358" i="4"/>
  <c r="C243" i="4"/>
  <c r="D243" i="4"/>
  <c r="C259" i="4"/>
  <c r="D259" i="4"/>
  <c r="C275" i="4"/>
  <c r="D275" i="4"/>
  <c r="C291" i="4"/>
  <c r="D291" i="4"/>
  <c r="C302" i="4"/>
  <c r="D302" i="4"/>
  <c r="D332" i="4"/>
  <c r="C332" i="4"/>
  <c r="D349" i="4"/>
  <c r="C349" i="4"/>
  <c r="D380" i="4"/>
  <c r="C380" i="4"/>
  <c r="D435" i="4"/>
  <c r="C435" i="4"/>
  <c r="C310" i="4"/>
  <c r="D310" i="4"/>
  <c r="D340" i="4"/>
  <c r="C340" i="4"/>
  <c r="D357" i="4"/>
  <c r="C357" i="4"/>
  <c r="C381" i="4"/>
  <c r="D381" i="4"/>
  <c r="C403" i="4"/>
  <c r="D403" i="4"/>
  <c r="C455" i="4"/>
  <c r="D455" i="4"/>
  <c r="C311" i="4"/>
  <c r="D311" i="4"/>
  <c r="C327" i="4"/>
  <c r="D327" i="4"/>
  <c r="C343" i="4"/>
  <c r="D343" i="4"/>
  <c r="D359" i="4"/>
  <c r="C359" i="4"/>
  <c r="D383" i="4"/>
  <c r="C383" i="4"/>
  <c r="D400" i="4"/>
  <c r="C400" i="4"/>
  <c r="C428" i="4"/>
  <c r="D428" i="4"/>
  <c r="D454" i="4"/>
  <c r="C454" i="4"/>
  <c r="D375" i="4"/>
  <c r="C375" i="4"/>
  <c r="D392" i="4"/>
  <c r="C392" i="4"/>
  <c r="C424" i="4"/>
  <c r="D424" i="4"/>
  <c r="D462" i="4"/>
  <c r="C462" i="4"/>
  <c r="C444" i="4"/>
  <c r="D444" i="4"/>
  <c r="C503" i="4"/>
  <c r="D503" i="4"/>
  <c r="D374" i="4"/>
  <c r="C374" i="4"/>
  <c r="D390" i="4"/>
  <c r="C390" i="4"/>
  <c r="D406" i="4"/>
  <c r="C406" i="4"/>
  <c r="D422" i="4"/>
  <c r="C422" i="4"/>
  <c r="D450" i="4"/>
  <c r="C450" i="4"/>
  <c r="D482" i="4"/>
  <c r="C482" i="4"/>
  <c r="D502" i="4"/>
  <c r="C502" i="4"/>
  <c r="C417" i="4"/>
  <c r="D417" i="4"/>
  <c r="C433" i="4"/>
  <c r="D433" i="4"/>
  <c r="C475" i="4"/>
  <c r="D475" i="4"/>
  <c r="C437" i="4"/>
  <c r="D437" i="4"/>
  <c r="C453" i="4"/>
  <c r="D453" i="4"/>
  <c r="C469" i="4"/>
  <c r="D469" i="4"/>
  <c r="C485" i="4"/>
  <c r="D485" i="4"/>
  <c r="C501" i="4"/>
  <c r="D501" i="4"/>
  <c r="C460" i="4"/>
  <c r="D460" i="4"/>
  <c r="C476" i="4"/>
  <c r="D476" i="4"/>
  <c r="C492" i="4"/>
  <c r="D492" i="4"/>
  <c r="F36" i="4"/>
  <c r="F275" i="4"/>
  <c r="F304" i="4"/>
  <c r="F252" i="4"/>
  <c r="F195" i="4"/>
  <c r="D18" i="4"/>
  <c r="C18" i="4"/>
  <c r="D42" i="4"/>
  <c r="C42" i="4"/>
  <c r="C227" i="4"/>
  <c r="D227" i="4"/>
  <c r="C54" i="4"/>
  <c r="D54" i="4"/>
  <c r="D51" i="4"/>
  <c r="C51" i="4"/>
  <c r="C64" i="4"/>
  <c r="D64" i="4"/>
  <c r="D27" i="4"/>
  <c r="C27" i="4"/>
  <c r="F27" i="4"/>
  <c r="D53" i="4"/>
  <c r="C53" i="4"/>
  <c r="D101" i="4"/>
  <c r="C101" i="4"/>
  <c r="C185" i="4"/>
  <c r="D185" i="4"/>
  <c r="C75" i="4"/>
  <c r="D75" i="4"/>
  <c r="D122" i="4"/>
  <c r="C122" i="4"/>
  <c r="C189" i="4"/>
  <c r="D189" i="4"/>
  <c r="C80" i="4"/>
  <c r="D80" i="4"/>
  <c r="C112" i="4"/>
  <c r="D112" i="4"/>
  <c r="C149" i="4"/>
  <c r="D149" i="4"/>
  <c r="D248" i="4"/>
  <c r="C248" i="4"/>
  <c r="D156" i="4"/>
  <c r="C156" i="4"/>
  <c r="D188" i="4"/>
  <c r="C188" i="4"/>
  <c r="D236" i="4"/>
  <c r="C236" i="4"/>
  <c r="D297" i="4"/>
  <c r="C297" i="4"/>
  <c r="D190" i="4"/>
  <c r="C190" i="4"/>
  <c r="D222" i="4"/>
  <c r="C222" i="4"/>
  <c r="C278" i="4"/>
  <c r="D278" i="4"/>
  <c r="C242" i="4"/>
  <c r="D242" i="4"/>
  <c r="C328" i="4"/>
  <c r="D328" i="4"/>
  <c r="D247" i="4"/>
  <c r="C247" i="4"/>
  <c r="D295" i="4"/>
  <c r="C295" i="4"/>
  <c r="C350" i="4"/>
  <c r="D350" i="4"/>
  <c r="C360" i="4"/>
  <c r="D360" i="4"/>
  <c r="D299" i="4"/>
  <c r="C299" i="4"/>
  <c r="D347" i="4"/>
  <c r="C347" i="4"/>
  <c r="C401" i="4"/>
  <c r="D401" i="4"/>
  <c r="D470" i="4"/>
  <c r="C470" i="4"/>
  <c r="C432" i="4"/>
  <c r="D432" i="4"/>
  <c r="C362" i="4"/>
  <c r="D362" i="4"/>
  <c r="D410" i="4"/>
  <c r="C410" i="4"/>
  <c r="D490" i="4"/>
  <c r="C490" i="4"/>
  <c r="C421" i="4"/>
  <c r="D421" i="4"/>
  <c r="C483" i="4"/>
  <c r="D483" i="4"/>
  <c r="D457" i="4"/>
  <c r="C457" i="4"/>
  <c r="D489" i="4"/>
  <c r="C489" i="4"/>
  <c r="C448" i="4"/>
  <c r="D448" i="4"/>
  <c r="C464" i="4"/>
  <c r="D464" i="4"/>
  <c r="C480" i="4"/>
  <c r="D480" i="4"/>
  <c r="C496" i="4"/>
  <c r="D496" i="4"/>
  <c r="F299" i="4"/>
  <c r="F328" i="4"/>
  <c r="F221" i="4"/>
  <c r="F80" i="4"/>
  <c r="F324" i="4"/>
  <c r="F263" i="4"/>
  <c r="F458" i="4"/>
  <c r="F220" i="4"/>
  <c r="F350" i="4"/>
  <c r="F297" i="4"/>
  <c r="F432" i="4"/>
  <c r="F172" i="4"/>
  <c r="D35" i="4"/>
  <c r="C35" i="4"/>
  <c r="D141" i="4"/>
  <c r="C141" i="4"/>
  <c r="C14" i="4"/>
  <c r="D14" i="4"/>
  <c r="C12" i="4"/>
  <c r="D12" i="4"/>
  <c r="F12" i="4"/>
  <c r="C44" i="4"/>
  <c r="D44" i="4"/>
  <c r="F44" i="4"/>
  <c r="D82" i="4"/>
  <c r="C82" i="4"/>
  <c r="C143" i="4"/>
  <c r="D143" i="4"/>
  <c r="C312" i="4"/>
  <c r="D312" i="4"/>
  <c r="C8" i="4"/>
  <c r="D8" i="4"/>
  <c r="F8" i="4"/>
  <c r="D38" i="4"/>
  <c r="C38" i="4"/>
  <c r="D55" i="4"/>
  <c r="C55" i="4"/>
  <c r="C72" i="4"/>
  <c r="D72" i="4"/>
  <c r="D157" i="4"/>
  <c r="C157" i="4"/>
  <c r="D19" i="4"/>
  <c r="C19" i="4"/>
  <c r="C66" i="4"/>
  <c r="D66" i="4"/>
  <c r="D31" i="4"/>
  <c r="C31" i="4"/>
  <c r="C48" i="4"/>
  <c r="D48" i="4"/>
  <c r="D78" i="4"/>
  <c r="C78" i="4"/>
  <c r="D142" i="4"/>
  <c r="C142" i="4"/>
  <c r="C250" i="4"/>
  <c r="D250" i="4"/>
  <c r="D158" i="4"/>
  <c r="C158" i="4"/>
  <c r="D43" i="4"/>
  <c r="C43" i="4"/>
  <c r="F43" i="4"/>
  <c r="D9" i="4"/>
  <c r="C9" i="4"/>
  <c r="F9" i="4"/>
  <c r="C25" i="4"/>
  <c r="D25" i="4"/>
  <c r="F25" i="4"/>
  <c r="C41" i="4"/>
  <c r="D41" i="4"/>
  <c r="D57" i="4"/>
  <c r="C57" i="4"/>
  <c r="C73" i="4"/>
  <c r="D73" i="4"/>
  <c r="D89" i="4"/>
  <c r="C89" i="4"/>
  <c r="D105" i="4"/>
  <c r="C105" i="4"/>
  <c r="D130" i="4"/>
  <c r="C130" i="4"/>
  <c r="C147" i="4"/>
  <c r="D147" i="4"/>
  <c r="D177" i="4"/>
  <c r="C177" i="4"/>
  <c r="C193" i="4"/>
  <c r="D193" i="4"/>
  <c r="C225" i="4"/>
  <c r="D225" i="4"/>
  <c r="D296" i="4"/>
  <c r="C296" i="4"/>
  <c r="C79" i="4"/>
  <c r="D79" i="4"/>
  <c r="C95" i="4"/>
  <c r="D95" i="4"/>
  <c r="C111" i="4"/>
  <c r="D111" i="4"/>
  <c r="C123" i="4"/>
  <c r="D123" i="4"/>
  <c r="C153" i="4"/>
  <c r="D153" i="4"/>
  <c r="D170" i="4"/>
  <c r="C170" i="4"/>
  <c r="C197" i="4"/>
  <c r="D197" i="4"/>
  <c r="C229" i="4"/>
  <c r="D229" i="4"/>
  <c r="D372" i="4"/>
  <c r="C372" i="4"/>
  <c r="C84" i="4"/>
  <c r="D84" i="4"/>
  <c r="C100" i="4"/>
  <c r="D100" i="4"/>
  <c r="C116" i="4"/>
  <c r="D116" i="4"/>
  <c r="C133" i="4"/>
  <c r="D133" i="4"/>
  <c r="D150" i="4"/>
  <c r="C150" i="4"/>
  <c r="C167" i="4"/>
  <c r="D167" i="4"/>
  <c r="C207" i="4"/>
  <c r="D207" i="4"/>
  <c r="D265" i="4"/>
  <c r="C265" i="4"/>
  <c r="D128" i="4"/>
  <c r="C128" i="4"/>
  <c r="D144" i="4"/>
  <c r="C144" i="4"/>
  <c r="D160" i="4"/>
  <c r="C160" i="4"/>
  <c r="D176" i="4"/>
  <c r="C176" i="4"/>
  <c r="D192" i="4"/>
  <c r="C192" i="4"/>
  <c r="D208" i="4"/>
  <c r="C208" i="4"/>
  <c r="D224" i="4"/>
  <c r="C224" i="4"/>
  <c r="D237" i="4"/>
  <c r="C237" i="4"/>
  <c r="C254" i="4"/>
  <c r="D254" i="4"/>
  <c r="D284" i="4"/>
  <c r="C284" i="4"/>
  <c r="D305" i="4"/>
  <c r="C305" i="4"/>
  <c r="C352" i="4"/>
  <c r="D352" i="4"/>
  <c r="D404" i="4"/>
  <c r="C404" i="4"/>
  <c r="D194" i="4"/>
  <c r="C194" i="4"/>
  <c r="D210" i="4"/>
  <c r="C210" i="4"/>
  <c r="D226" i="4"/>
  <c r="C226" i="4"/>
  <c r="D245" i="4"/>
  <c r="C245" i="4"/>
  <c r="C262" i="4"/>
  <c r="D262" i="4"/>
  <c r="C292" i="4"/>
  <c r="D292" i="4"/>
  <c r="C306" i="4"/>
  <c r="D306" i="4"/>
  <c r="D353" i="4"/>
  <c r="C353" i="4"/>
  <c r="C235" i="4"/>
  <c r="D235" i="4"/>
  <c r="C256" i="4"/>
  <c r="D256" i="4"/>
  <c r="D273" i="4"/>
  <c r="C273" i="4"/>
  <c r="C290" i="4"/>
  <c r="D290" i="4"/>
  <c r="C330" i="4"/>
  <c r="D330" i="4"/>
  <c r="C487" i="4"/>
  <c r="D487" i="4"/>
  <c r="D251" i="4"/>
  <c r="C251" i="4"/>
  <c r="D267" i="4"/>
  <c r="C267" i="4"/>
  <c r="D283" i="4"/>
  <c r="C283" i="4"/>
  <c r="D300" i="4"/>
  <c r="C300" i="4"/>
  <c r="D317" i="4"/>
  <c r="C317" i="4"/>
  <c r="C334" i="4"/>
  <c r="D334" i="4"/>
  <c r="C363" i="4"/>
  <c r="D363" i="4"/>
  <c r="C397" i="4"/>
  <c r="D397" i="4"/>
  <c r="D308" i="4"/>
  <c r="C308" i="4"/>
  <c r="D325" i="4"/>
  <c r="C325" i="4"/>
  <c r="C342" i="4"/>
  <c r="D342" i="4"/>
  <c r="D364" i="4"/>
  <c r="C364" i="4"/>
  <c r="D411" i="4"/>
  <c r="C411" i="4"/>
  <c r="D431" i="4"/>
  <c r="C431" i="4"/>
  <c r="C303" i="4"/>
  <c r="D303" i="4"/>
  <c r="C319" i="4"/>
  <c r="D319" i="4"/>
  <c r="C335" i="4"/>
  <c r="D335" i="4"/>
  <c r="C351" i="4"/>
  <c r="D351" i="4"/>
  <c r="D368" i="4"/>
  <c r="C368" i="4"/>
  <c r="C385" i="4"/>
  <c r="D385" i="4"/>
  <c r="C412" i="4"/>
  <c r="D412" i="4"/>
  <c r="C438" i="4"/>
  <c r="D438" i="4"/>
  <c r="D486" i="4"/>
  <c r="C486" i="4"/>
  <c r="C377" i="4"/>
  <c r="D377" i="4"/>
  <c r="C408" i="4"/>
  <c r="D408" i="4"/>
  <c r="D439" i="4"/>
  <c r="C439" i="4"/>
  <c r="C495" i="4"/>
  <c r="D495" i="4"/>
  <c r="C463" i="4"/>
  <c r="D463" i="4"/>
  <c r="D366" i="4"/>
  <c r="C366" i="4"/>
  <c r="D382" i="4"/>
  <c r="C382" i="4"/>
  <c r="D398" i="4"/>
  <c r="C398" i="4"/>
  <c r="D414" i="4"/>
  <c r="C414" i="4"/>
  <c r="D430" i="4"/>
  <c r="C430" i="4"/>
  <c r="D466" i="4"/>
  <c r="C466" i="4"/>
  <c r="D498" i="4"/>
  <c r="C498" i="4"/>
  <c r="C409" i="4"/>
  <c r="D409" i="4"/>
  <c r="C425" i="4"/>
  <c r="D425" i="4"/>
  <c r="C459" i="4"/>
  <c r="D459" i="4"/>
  <c r="C491" i="4"/>
  <c r="D491" i="4"/>
  <c r="C445" i="4"/>
  <c r="D445" i="4"/>
  <c r="C461" i="4"/>
  <c r="D461" i="4"/>
  <c r="C477" i="4"/>
  <c r="D477" i="4"/>
  <c r="C493" i="4"/>
  <c r="D493" i="4"/>
  <c r="C452" i="4"/>
  <c r="D452" i="4"/>
  <c r="C468" i="4"/>
  <c r="D468" i="4"/>
  <c r="C484" i="4"/>
  <c r="D484" i="4"/>
  <c r="C500" i="4"/>
  <c r="D500" i="4"/>
  <c r="F457" i="4"/>
  <c r="F245" i="4"/>
  <c r="F112" i="4"/>
  <c r="F54" i="4"/>
  <c r="D106" i="4"/>
  <c r="C106" i="4"/>
  <c r="D10" i="4"/>
  <c r="C10" i="4"/>
  <c r="D126" i="4"/>
  <c r="C126" i="4"/>
  <c r="D7" i="4"/>
  <c r="C7" i="4"/>
  <c r="F7" i="4"/>
  <c r="D71" i="4"/>
  <c r="C71" i="4"/>
  <c r="C4" i="4"/>
  <c r="D4" i="4"/>
  <c r="D47" i="4"/>
  <c r="C47" i="4"/>
  <c r="D125" i="4"/>
  <c r="C125" i="4"/>
  <c r="C68" i="4"/>
  <c r="D68" i="4"/>
  <c r="C21" i="4"/>
  <c r="D21" i="4"/>
  <c r="D69" i="4"/>
  <c r="C69" i="4"/>
  <c r="D129" i="4"/>
  <c r="C129" i="4"/>
  <c r="C163" i="4"/>
  <c r="D163" i="4"/>
  <c r="C266" i="4"/>
  <c r="D266" i="4"/>
  <c r="C107" i="4"/>
  <c r="D107" i="4"/>
  <c r="C169" i="4"/>
  <c r="D169" i="4"/>
  <c r="C314" i="4"/>
  <c r="D314" i="4"/>
  <c r="C119" i="4"/>
  <c r="D119" i="4"/>
  <c r="F119" i="4"/>
  <c r="C199" i="4"/>
  <c r="D199" i="4"/>
  <c r="D140" i="4"/>
  <c r="C140" i="4"/>
  <c r="D204" i="4"/>
  <c r="C204" i="4"/>
  <c r="F204" i="4"/>
  <c r="C270" i="4"/>
  <c r="D270" i="4"/>
  <c r="D388" i="4"/>
  <c r="C388" i="4"/>
  <c r="C244" i="4"/>
  <c r="D244" i="4"/>
  <c r="C338" i="4"/>
  <c r="D338" i="4"/>
  <c r="C272" i="4"/>
  <c r="D272" i="4"/>
  <c r="C387" i="4"/>
  <c r="D387" i="4"/>
  <c r="D279" i="4"/>
  <c r="C279" i="4"/>
  <c r="D333" i="4"/>
  <c r="C333" i="4"/>
  <c r="C471" i="4"/>
  <c r="D471" i="4"/>
  <c r="D341" i="4"/>
  <c r="C341" i="4"/>
  <c r="D415" i="4"/>
  <c r="C415" i="4"/>
  <c r="D315" i="4"/>
  <c r="C315" i="4"/>
  <c r="D367" i="4"/>
  <c r="C367" i="4"/>
  <c r="C436" i="4"/>
  <c r="D436" i="4"/>
  <c r="C393" i="4"/>
  <c r="D393" i="4"/>
  <c r="C447" i="4"/>
  <c r="D447" i="4"/>
  <c r="C378" i="4"/>
  <c r="D378" i="4"/>
  <c r="D426" i="4"/>
  <c r="C426" i="4"/>
  <c r="C405" i="4"/>
  <c r="D405" i="4"/>
  <c r="D441" i="4"/>
  <c r="C441" i="4"/>
  <c r="F394" i="4"/>
  <c r="F253" i="4"/>
  <c r="F222" i="4"/>
  <c r="F124" i="4"/>
  <c r="F5" i="4"/>
  <c r="F75" i="4"/>
  <c r="F85" i="4"/>
  <c r="F68" i="4"/>
  <c r="F242" i="4"/>
  <c r="F496" i="4"/>
  <c r="F272" i="4"/>
  <c r="F231" i="4"/>
  <c r="F347" i="4"/>
  <c r="F106" i="4"/>
  <c r="F42" i="4"/>
  <c r="F51" i="4"/>
  <c r="F396" i="4"/>
  <c r="F227" i="4"/>
  <c r="F139" i="4"/>
  <c r="F470" i="4"/>
  <c r="F447" i="4"/>
  <c r="F333" i="4"/>
  <c r="F248" i="4"/>
  <c r="F266" i="4"/>
  <c r="F295" i="4"/>
  <c r="F217" i="4"/>
  <c r="F127" i="4"/>
  <c r="F82" i="4"/>
  <c r="F18" i="4"/>
  <c r="C52" i="4"/>
  <c r="D52" i="4"/>
  <c r="C175" i="4"/>
  <c r="D175" i="4"/>
  <c r="C16" i="4"/>
  <c r="D16" i="4"/>
  <c r="D26" i="4"/>
  <c r="C26" i="4"/>
  <c r="C58" i="4"/>
  <c r="D58" i="4"/>
  <c r="D98" i="4"/>
  <c r="C98" i="4"/>
  <c r="D173" i="4"/>
  <c r="C173" i="4"/>
  <c r="D22" i="4"/>
  <c r="C22" i="4"/>
  <c r="D39" i="4"/>
  <c r="C39" i="4"/>
  <c r="C56" i="4"/>
  <c r="D56" i="4"/>
  <c r="D86" i="4"/>
  <c r="C86" i="4"/>
  <c r="D174" i="4"/>
  <c r="C174" i="4"/>
  <c r="C34" i="4"/>
  <c r="D34" i="4"/>
  <c r="D90" i="4"/>
  <c r="C90" i="4"/>
  <c r="C32" i="4"/>
  <c r="D32" i="4"/>
  <c r="D62" i="4"/>
  <c r="C62" i="4"/>
  <c r="D94" i="4"/>
  <c r="C94" i="4"/>
  <c r="C159" i="4"/>
  <c r="D159" i="4"/>
  <c r="C20" i="4"/>
  <c r="D20" i="4"/>
  <c r="D329" i="4"/>
  <c r="C329" i="4"/>
  <c r="D59" i="4"/>
  <c r="C59" i="4"/>
  <c r="F59" i="4"/>
  <c r="D13" i="4"/>
  <c r="C13" i="4"/>
  <c r="F13" i="4"/>
  <c r="C29" i="4"/>
  <c r="D29" i="4"/>
  <c r="F29" i="4"/>
  <c r="D45" i="4"/>
  <c r="C45" i="4"/>
  <c r="F45" i="4"/>
  <c r="D61" i="4"/>
  <c r="C61" i="4"/>
  <c r="F61" i="4"/>
  <c r="D77" i="4"/>
  <c r="C77" i="4"/>
  <c r="D93" i="4"/>
  <c r="C93" i="4"/>
  <c r="D109" i="4"/>
  <c r="C109" i="4"/>
  <c r="C131" i="4"/>
  <c r="D131" i="4"/>
  <c r="D161" i="4"/>
  <c r="C161" i="4"/>
  <c r="D178" i="4"/>
  <c r="C178" i="4"/>
  <c r="C201" i="4"/>
  <c r="D201" i="4"/>
  <c r="D233" i="4"/>
  <c r="C233" i="4"/>
  <c r="C344" i="4"/>
  <c r="D344" i="4"/>
  <c r="C83" i="4"/>
  <c r="D83" i="4"/>
  <c r="F83" i="4"/>
  <c r="C99" i="4"/>
  <c r="D99" i="4"/>
  <c r="F99" i="4"/>
  <c r="C115" i="4"/>
  <c r="D115" i="4"/>
  <c r="F115" i="4"/>
  <c r="C137" i="4"/>
  <c r="D137" i="4"/>
  <c r="D154" i="4"/>
  <c r="C154" i="4"/>
  <c r="C171" i="4"/>
  <c r="D171" i="4"/>
  <c r="C205" i="4"/>
  <c r="D205" i="4"/>
  <c r="D264" i="4"/>
  <c r="C264" i="4"/>
  <c r="C389" i="4"/>
  <c r="D389" i="4"/>
  <c r="C88" i="4"/>
  <c r="D88" i="4"/>
  <c r="C104" i="4"/>
  <c r="D104" i="4"/>
  <c r="C117" i="4"/>
  <c r="D117" i="4"/>
  <c r="D134" i="4"/>
  <c r="C134" i="4"/>
  <c r="C151" i="4"/>
  <c r="D151" i="4"/>
  <c r="C183" i="4"/>
  <c r="D183" i="4"/>
  <c r="C215" i="4"/>
  <c r="D215" i="4"/>
  <c r="C282" i="4"/>
  <c r="D282" i="4"/>
  <c r="C132" i="4"/>
  <c r="D132" i="4"/>
  <c r="C148" i="4"/>
  <c r="D148" i="4"/>
  <c r="C164" i="4"/>
  <c r="D164" i="4"/>
  <c r="D180" i="4"/>
  <c r="C180" i="4"/>
  <c r="D196" i="4"/>
  <c r="C196" i="4"/>
  <c r="D212" i="4"/>
  <c r="C212" i="4"/>
  <c r="D228" i="4"/>
  <c r="C228" i="4"/>
  <c r="C238" i="4"/>
  <c r="D238" i="4"/>
  <c r="D268" i="4"/>
  <c r="C268" i="4"/>
  <c r="D285" i="4"/>
  <c r="C285" i="4"/>
  <c r="C320" i="4"/>
  <c r="D320" i="4"/>
  <c r="C354" i="4"/>
  <c r="D354" i="4"/>
  <c r="D182" i="4"/>
  <c r="C182" i="4"/>
  <c r="D198" i="4"/>
  <c r="C198" i="4"/>
  <c r="D214" i="4"/>
  <c r="C214" i="4"/>
  <c r="C230" i="4"/>
  <c r="D230" i="4"/>
  <c r="F230" i="4"/>
  <c r="C246" i="4"/>
  <c r="D246" i="4"/>
  <c r="C276" i="4"/>
  <c r="D276" i="4"/>
  <c r="D293" i="4"/>
  <c r="C293" i="4"/>
  <c r="D321" i="4"/>
  <c r="C321" i="4"/>
  <c r="C373" i="4"/>
  <c r="D373" i="4"/>
  <c r="C240" i="4"/>
  <c r="D240" i="4"/>
  <c r="D257" i="4"/>
  <c r="C257" i="4"/>
  <c r="C274" i="4"/>
  <c r="D274" i="4"/>
  <c r="C298" i="4"/>
  <c r="D298" i="4"/>
  <c r="D345" i="4"/>
  <c r="C345" i="4"/>
  <c r="C239" i="4"/>
  <c r="D239" i="4"/>
  <c r="C255" i="4"/>
  <c r="D255" i="4"/>
  <c r="C271" i="4"/>
  <c r="D271" i="4"/>
  <c r="C287" i="4"/>
  <c r="D287" i="4"/>
  <c r="D301" i="4"/>
  <c r="C301" i="4"/>
  <c r="C318" i="4"/>
  <c r="D318" i="4"/>
  <c r="D348" i="4"/>
  <c r="C348" i="4"/>
  <c r="C365" i="4"/>
  <c r="D365" i="4"/>
  <c r="D419" i="4"/>
  <c r="C419" i="4"/>
  <c r="D309" i="4"/>
  <c r="C309" i="4"/>
  <c r="C326" i="4"/>
  <c r="D326" i="4"/>
  <c r="D356" i="4"/>
  <c r="C356" i="4"/>
  <c r="C379" i="4"/>
  <c r="D379" i="4"/>
  <c r="D427" i="4"/>
  <c r="C427" i="4"/>
  <c r="D443" i="4"/>
  <c r="C443" i="4"/>
  <c r="D307" i="4"/>
  <c r="C307" i="4"/>
  <c r="D323" i="4"/>
  <c r="C323" i="4"/>
  <c r="D339" i="4"/>
  <c r="C339" i="4"/>
  <c r="D355" i="4"/>
  <c r="C355" i="4"/>
  <c r="C369" i="4"/>
  <c r="D369" i="4"/>
  <c r="D399" i="4"/>
  <c r="C399" i="4"/>
  <c r="C420" i="4"/>
  <c r="D420" i="4"/>
  <c r="C440" i="4"/>
  <c r="D440" i="4"/>
  <c r="C361" i="4"/>
  <c r="D361" i="4"/>
  <c r="D391" i="4"/>
  <c r="C391" i="4"/>
  <c r="C416" i="4"/>
  <c r="D416" i="4"/>
  <c r="D446" i="4"/>
  <c r="C446" i="4"/>
  <c r="D442" i="4"/>
  <c r="C442" i="4"/>
  <c r="C479" i="4"/>
  <c r="D479" i="4"/>
  <c r="C370" i="4"/>
  <c r="D370" i="4"/>
  <c r="C386" i="4"/>
  <c r="D386" i="4"/>
  <c r="C402" i="4"/>
  <c r="D402" i="4"/>
  <c r="D418" i="4"/>
  <c r="C418" i="4"/>
  <c r="D434" i="4"/>
  <c r="C434" i="4"/>
  <c r="D474" i="4"/>
  <c r="C474" i="4"/>
  <c r="D494" i="4"/>
  <c r="C494" i="4"/>
  <c r="C413" i="4"/>
  <c r="D413" i="4"/>
  <c r="C429" i="4"/>
  <c r="D429" i="4"/>
  <c r="C467" i="4"/>
  <c r="D467" i="4"/>
  <c r="C499" i="4"/>
  <c r="D499" i="4"/>
  <c r="D449" i="4"/>
  <c r="C449" i="4"/>
  <c r="D465" i="4"/>
  <c r="C465" i="4"/>
  <c r="D481" i="4"/>
  <c r="C481" i="4"/>
  <c r="D497" i="4"/>
  <c r="C497" i="4"/>
  <c r="C456" i="4"/>
  <c r="D456" i="4"/>
  <c r="C472" i="4"/>
  <c r="D472" i="4"/>
  <c r="C488" i="4"/>
  <c r="D488" i="4"/>
  <c r="C504" i="4"/>
  <c r="D504" i="4"/>
  <c r="F47" i="4"/>
  <c r="F474" i="4"/>
  <c r="F371" i="4"/>
  <c r="F352" i="4"/>
  <c r="F310" i="4"/>
  <c r="F238" i="4"/>
  <c r="F189" i="4"/>
  <c r="F128" i="4"/>
  <c r="F291" i="4"/>
  <c r="F21" i="4"/>
  <c r="B32" i="2"/>
  <c r="B41" i="2"/>
  <c r="C25" i="2"/>
  <c r="D42" i="2" l="1"/>
  <c r="B43" i="2"/>
  <c r="B48" i="2"/>
  <c r="C32" i="2"/>
  <c r="C41" i="2"/>
  <c r="B49" i="2" l="1"/>
  <c r="B51" i="2" s="1"/>
  <c r="C43" i="2"/>
  <c r="D41" i="2"/>
  <c r="D43" i="2" s="1"/>
  <c r="K50" i="2" l="1"/>
  <c r="B64" i="2" s="1"/>
  <c r="B56" i="2"/>
  <c r="B58" i="2" l="1"/>
  <c r="B57" i="2"/>
  <c r="B59" i="2"/>
  <c r="B60" i="2"/>
  <c r="B61" i="2" l="1"/>
  <c r="B65" i="2" s="1"/>
  <c r="C67" i="2" s="1"/>
</calcChain>
</file>

<file path=xl/sharedStrings.xml><?xml version="1.0" encoding="utf-8"?>
<sst xmlns="http://schemas.openxmlformats.org/spreadsheetml/2006/main" count="879" uniqueCount="436">
  <si>
    <t>Per Day</t>
  </si>
  <si>
    <t>Total Hours to Work</t>
  </si>
  <si>
    <t>Quick Start</t>
  </si>
  <si>
    <t>Quick End</t>
  </si>
  <si>
    <t>Start Time</t>
  </si>
  <si>
    <t>Lunch Start</t>
  </si>
  <si>
    <t>Hours</t>
  </si>
  <si>
    <t>Lunch Return</t>
  </si>
  <si>
    <t>Minutes</t>
  </si>
  <si>
    <t>End Time</t>
  </si>
  <si>
    <t>Out for Lunch</t>
  </si>
  <si>
    <t>In for Lunch</t>
  </si>
  <si>
    <t>Leave Time</t>
  </si>
  <si>
    <t>Total Hours Worked</t>
  </si>
  <si>
    <t>Days and Weekly Total</t>
  </si>
  <si>
    <t>Hours Per Day</t>
  </si>
  <si>
    <t>Hours Left to Complete 40 Hours</t>
  </si>
  <si>
    <t>Hours per day left to work</t>
  </si>
  <si>
    <t>Hours Per Week</t>
  </si>
  <si>
    <t>Monday</t>
  </si>
  <si>
    <t>Tuesday</t>
  </si>
  <si>
    <t>Wednesday</t>
  </si>
  <si>
    <t>Thursday</t>
  </si>
  <si>
    <t>Friday</t>
  </si>
  <si>
    <t>Week 1 Totals</t>
  </si>
  <si>
    <t>Week 2 Totals</t>
  </si>
  <si>
    <t>Totals</t>
  </si>
  <si>
    <t>Vacation Hours</t>
  </si>
  <si>
    <t>Holiday Hours</t>
  </si>
  <si>
    <t>Regular Up To 40</t>
  </si>
  <si>
    <t>Over Time</t>
  </si>
  <si>
    <t>Gross Total</t>
  </si>
  <si>
    <t>B1Z0LZN6</t>
  </si>
  <si>
    <t>Hourly</t>
  </si>
  <si>
    <t>Pre Tax Desc</t>
  </si>
  <si>
    <t>Pre Tax Amt</t>
  </si>
  <si>
    <t>Tax Desc</t>
  </si>
  <si>
    <t>Tax Rate</t>
  </si>
  <si>
    <t>After Tax Desc</t>
  </si>
  <si>
    <t>After Tax Amt</t>
  </si>
  <si>
    <t>Regular</t>
  </si>
  <si>
    <t>Dental</t>
  </si>
  <si>
    <t>Fed Witholding</t>
  </si>
  <si>
    <t>Supplemental Employee Life Insurance</t>
  </si>
  <si>
    <t>OverTime</t>
  </si>
  <si>
    <t>Medical</t>
  </si>
  <si>
    <t>Fed MED/EE</t>
  </si>
  <si>
    <t>Long Term Disability</t>
  </si>
  <si>
    <t>Other</t>
  </si>
  <si>
    <t>Vision</t>
  </si>
  <si>
    <t>Fed OASDI/EE</t>
  </si>
  <si>
    <t>Employee Stock Purchase Plan</t>
  </si>
  <si>
    <t>Pre Tax</t>
  </si>
  <si>
    <t>Flex Spending</t>
  </si>
  <si>
    <t>AZ Witholding</t>
  </si>
  <si>
    <t>Taxable</t>
  </si>
  <si>
    <t>After Tax</t>
  </si>
  <si>
    <t>Net Pay</t>
  </si>
  <si>
    <t>Quantity</t>
  </si>
  <si>
    <t>100% Profit</t>
  </si>
  <si>
    <t>60% Profits</t>
  </si>
  <si>
    <t>40% Profits</t>
  </si>
  <si>
    <t>Investment</t>
  </si>
  <si>
    <t>Investment + Profit</t>
  </si>
  <si>
    <t>Cost</t>
  </si>
  <si>
    <t>Qty</t>
  </si>
  <si>
    <t>Per Unit Cost</t>
  </si>
  <si>
    <t>Per Unit Sale Price</t>
  </si>
  <si>
    <t>Profit</t>
  </si>
  <si>
    <t>Percentage Gain</t>
  </si>
  <si>
    <t>Expecting Date</t>
  </si>
  <si>
    <t>Description</t>
  </si>
  <si>
    <t>Amount</t>
  </si>
  <si>
    <t>Running Balance</t>
  </si>
  <si>
    <t>Category</t>
  </si>
  <si>
    <t>Status</t>
  </si>
  <si>
    <t>Recurrence/Comments</t>
  </si>
  <si>
    <t>Due Date</t>
  </si>
  <si>
    <t>Row Labels</t>
  </si>
  <si>
    <t>Sum of Amount</t>
  </si>
  <si>
    <t>Christmas Gift</t>
  </si>
  <si>
    <t>Alcohol</t>
  </si>
  <si>
    <t>Breakfast</t>
  </si>
  <si>
    <t>Amazon Prime</t>
  </si>
  <si>
    <t>Lunch</t>
  </si>
  <si>
    <t>Andrew</t>
  </si>
  <si>
    <t>US FOODS, INC. DES:DIR DEP ID:190132 INDN:SOTELO,JOSE G CO ID:XXXXX42294 PPD</t>
  </si>
  <si>
    <t>Payroll</t>
  </si>
  <si>
    <t>Apparel</t>
  </si>
  <si>
    <t>Art</t>
  </si>
  <si>
    <t>Barstools</t>
  </si>
  <si>
    <t>Burning</t>
  </si>
  <si>
    <t>Car Insurance</t>
  </si>
  <si>
    <t>Car Maintenance</t>
  </si>
  <si>
    <t>PAYPAL DES:INST XFER ID:LYFT INDN:JOSE SOTELO CO ID:PAYPALSI77 WEB</t>
  </si>
  <si>
    <t>Transportation</t>
  </si>
  <si>
    <t>ACH</t>
  </si>
  <si>
    <t>Food</t>
  </si>
  <si>
    <t>Coffee</t>
  </si>
  <si>
    <t>Going Out</t>
  </si>
  <si>
    <t>Dinner</t>
  </si>
  <si>
    <t>Electricity Utility</t>
  </si>
  <si>
    <t>Electronics</t>
  </si>
  <si>
    <t>Gas</t>
  </si>
  <si>
    <t>Entertainment</t>
  </si>
  <si>
    <t>Gas Utility</t>
  </si>
  <si>
    <t>SOUTHWEST GAS DES:WEB ID:XXXXX78939024 INDN:SOTELO JOSE CO ID:XXXXX85720 WEB</t>
  </si>
  <si>
    <t>Home Maintenance</t>
  </si>
  <si>
    <t>Household Consumables</t>
  </si>
  <si>
    <t>Internet Utility</t>
  </si>
  <si>
    <t>SRP DES:ECHEX PWR ID:XXXXX5001 INDN:Jose Sotelo CO ID:XXXXX00727 WEB</t>
  </si>
  <si>
    <t>COX COMM PHX DES:BANK DRAFT ID:XXXXX6769503001 INDN:Jose Sotelo CO ID:XXXXX98371 WEB</t>
  </si>
  <si>
    <t>PAYPAL DES:INST XFER ID:BEYAGI INDN:JOSE SOTELO CO ID:PAYPALSI77 WEB</t>
  </si>
  <si>
    <t>Potluck</t>
  </si>
  <si>
    <t>Rent</t>
  </si>
  <si>
    <t>Water Utility</t>
  </si>
  <si>
    <t>Whippits</t>
  </si>
  <si>
    <t>Cell Phone</t>
  </si>
  <si>
    <t>Annalyn</t>
  </si>
  <si>
    <t>Alejandro Gift</t>
  </si>
  <si>
    <t>Star Liquor</t>
  </si>
  <si>
    <t>Grand Total</t>
  </si>
  <si>
    <t>PROG ADVANCED DES:INS PREM ID:76029168 JOSE INDN:JOSE G SOTELO CO ID:XXXXX48096 PPD</t>
  </si>
  <si>
    <t>SHELL Service 02/02 #000496181 PURCHASE SHELL Service Sta SCOTTSDALE AZ</t>
  </si>
  <si>
    <t>CHECKCARD 0201 VENDING BESTFIT SCOTTSDALE AZ 24013397032000128918981</t>
  </si>
  <si>
    <t>CHECKCARD 0201 MCDONALD'S F10384 TEMPE AZ 24427337032720066150463</t>
  </si>
  <si>
    <t>CHECKCARD 0201 SBYRNE@PATREON.COM 877-887-7815 CA 24492157032637006509388 RECURRING</t>
  </si>
  <si>
    <t>ACH CREDIT US FOODS, INC. DIR DEP ON 02/02</t>
  </si>
  <si>
    <t>CHECKCARD 02/02 MCDONALD'S F10384 TEMPE AZ</t>
  </si>
  <si>
    <t>CHECKCARD 0202 VENDING BESTFIT SCOTTSDALE AZ 24013397033000286143074</t>
  </si>
  <si>
    <t>CHECKCARD 0201 STARBUCKS STORE 05378 TEMPE AZ 24692167033000108301145</t>
  </si>
  <si>
    <t>CHECKCARD 0201 HABIT- S. TEMPE #40 TEMPE AZ 24055237033206888100027</t>
  </si>
  <si>
    <t>PAYPAL DES:TRANSFER ID:4F922A227UUES INDN:JOSE SOTELO CO ID:PAYPALSD11 PPD</t>
  </si>
  <si>
    <t>Football Party</t>
  </si>
  <si>
    <t>VENMO DES:PAYMENT ID:XXXXX8803 INDN:JOSE SOTELO CO ID:XXXXX81992 WEB</t>
  </si>
  <si>
    <t>DEEVA ENTERPRI 02/06 #000028471 PURCHASE 7607 E MCDOWELL R SCOTTSDALE AZ</t>
  </si>
  <si>
    <t>HILIFE SMOKE S 02/05 #000605695 PURCHASE HILIFE SMOKE SHOP SCOTTSDALE AZ</t>
  </si>
  <si>
    <t>BURGER KING #4 02/05 #000501254 PURCHASE 6737 EAST THOMAS SCOTTSDALE AZ</t>
  </si>
  <si>
    <t>HILIFE SMOKE S 02/05 #000970925 PURCHASE HILIFE SMOKE SHOP SCOTTSDALE AZ</t>
  </si>
  <si>
    <t>DEEVA ENTERPRI 02/05 #000028382 PURCHASE 7607 E MCDOWELL R SCOTTSDALE AZ</t>
  </si>
  <si>
    <t>IT'S ALL GOODZ 02/05 #000505590 PURCHASE 933 E UNIVERSITY TEMPE AZ</t>
  </si>
  <si>
    <t>IT'S ALL GOODZ 02/04 #000505470 PURCHASE 933 E UNIVERSITY TEMPE AZ</t>
  </si>
  <si>
    <t>ZARA USA 6422 02/04 #000085528 PURCHASE ZARA USA 6422 SCOTTSDALE AZ</t>
  </si>
  <si>
    <t>ALDO US #2132 02/04 #000173794 PURCHASE 7014 E CAMELBACK SCOTTSDALE AZ</t>
  </si>
  <si>
    <t>CHECKCARD 0204 POSTINO HIGHLAND SCOTTSDALE AZ 24688087036080080368893</t>
  </si>
  <si>
    <t>CHECKCARD 0203 HAUTLK RACK8885478438 188-854-7843 CA 24445007035600217163983</t>
  </si>
  <si>
    <t>CHECKCARD 0202 BARROS PIZZA - CHANDLER CHANDLER AZ 24269797034100260343707</t>
  </si>
  <si>
    <t>CHECKCARD 0203 TEMPE UTILITIES TEMPE AZ 24761977035838991245465</t>
  </si>
  <si>
    <t>PAYPAL *FACTOR 02/06 #000600183 PURCHASE 2211 North First San Jose CA</t>
  </si>
  <si>
    <t>PAYPAL DES:TRANSFER ID:4F922A26TM9E4 INDN:JOSE SOTELO CO ID:PAYPALSD11 PPD</t>
  </si>
  <si>
    <t>BKOFAMERICA ATM 02/07 #000008271 DEPOSIT WARNER &amp; MCCLINT TEMPE AZ</t>
  </si>
  <si>
    <t>CHECKCARD 0207 MCDONALD'S F10384 TEMPE AZ 24427337038720060829488</t>
  </si>
  <si>
    <t>CHECKCARD 0206 WENDY'S CHANDLER AZ 24445007038100202351633</t>
  </si>
  <si>
    <t>PAYPAL DES:TRANSFER ID:4F922A27B3MSN INDN:JOSE SOTELO CO ID:PAYPALSD11 PPD</t>
  </si>
  <si>
    <t>PAYPAL *FACTOR 02/09 #000561211 PURCHASE 2211 North First San Jose CA</t>
  </si>
  <si>
    <t>SHELL Service 02/09 #000268559 PURCHASE SHELL Service Sta SCOTTSDALE AZ</t>
  </si>
  <si>
    <t>PAYPAL *FACTOR 02/09 #000858052 PURCHASE 2211 North First San Jose CA</t>
  </si>
  <si>
    <t>CHECKCARD 0208 AmazonPrime Membership amzn.com/prmeWA 24692167039000862838898 RECURRING</t>
  </si>
  <si>
    <t>CHECKCARD 0208 LI'S ASIAN CUISINE TEMPE AZ 24431067040206874900031</t>
  </si>
  <si>
    <t>CHECKCARD 0207 LOS TAQUITOS CHANDLER AZ 24692167039000706298044</t>
  </si>
  <si>
    <t>CHECKCARD 0207 VENDING BESTFIT SCOTTSDALE AZ 24013397039001051104725</t>
  </si>
  <si>
    <t>CHECKCARD 0208 HAUTLK RACK8885478438 LOS ANGELES CA 74445007040600207885478</t>
  </si>
  <si>
    <t>KOFAMERICA ATM 02/09 #000001321 DEPOSIT SCOTTSDALE &amp; EAR SCOTTSDALE AZ</t>
  </si>
  <si>
    <t>VENMO DES:PAYMENT ID:XXXXX5184 INDN:JOSE SOTELO CO ID:XXXXX81992 WEB</t>
  </si>
  <si>
    <t>VENMO DES:PAYMENT ID:XXXXX7322 INDN:JOSE SOTELO CO ID:XXXXX81992 WEB</t>
  </si>
  <si>
    <t>VENMO DES:PAYMENT ID:XXXXX5243 INDN:JOSE SOTELO CO ID:XXXXX81992 WEB</t>
  </si>
  <si>
    <t>PAYPAL *FACTOR 02/10 #000673799 PURCHASE 2211 North First San Jose CA</t>
  </si>
  <si>
    <t>CHECKCARD 0209 MCDONALD'S F10384 TEMPE AZ 24427337040720061626335</t>
  </si>
  <si>
    <t>CHECKCARD 0209 MCDONALD'S F10384 TEMPE AZ 24427337040720061624330</t>
  </si>
  <si>
    <t>CHECKCARD 0208 MCDONALD'S F11120 SCOTTSDALE AZ 24427337039720064920688</t>
  </si>
  <si>
    <t>PAYPAL DES:TRANSFER ID:4F922A2A2YLK6 INDN:JOSE SOTELO CO ID:PAYPALSD11 PPD</t>
  </si>
  <si>
    <t>VENMO DES:CASHOUT ID:XXXXX7684 INDN:JOSE SOTELO CO ID:XXXXX81992 PPD</t>
  </si>
  <si>
    <t>VENMO DES:PAYMENT ID:XXXXX5958 INDN:JOSE SOTELO CO ID:XXXXX81992 WEB</t>
  </si>
  <si>
    <t>CHECKCARD 0212 OSCAR'S MARKET TEMPE AZ 24765017044286000000275</t>
  </si>
  <si>
    <t>CIRCLE K 03747 02/12 #000468687 PURCHASE CIRCLE K 03747 TEMPE AZ</t>
  </si>
  <si>
    <t>BURGER KING #4 02/12 #000351321 PURCHASE 6737 EAST THOMAS SCOTTSDALE AZ</t>
  </si>
  <si>
    <t>IT'S ALL GOODZ 02/13 #000508140 PURCHASE 933 E UNIVERSITY TEMPE AZ</t>
  </si>
  <si>
    <t>SHELL Service 02/12 #000360680 PURCHASE SHELL Service Sta TEMPE AZ</t>
  </si>
  <si>
    <t>CHECKCARD 0212 MOJO PALACE LLC MESA AZ 24013397043001764191385</t>
  </si>
  <si>
    <t>IT'S ALL GOODZ 02/12 #000507980 PURCHASE 933 E UNIVERSITY TEMPE AZ</t>
  </si>
  <si>
    <t>CHECKCARD 0211 MCDONALD'S F11120 SCOTTSDALE AZ 24427337043710058596176</t>
  </si>
  <si>
    <t>IT'S ALL GOODZ 02/11 #704357507900 PURCHASE 933 E UNIVERSITY DR TEMPE AZ</t>
  </si>
  <si>
    <t>IT'S ALL GOODZ 02/12 #000507840 PURCHASE 933 E UNIVERSITY TEMPE AZ</t>
  </si>
  <si>
    <t>PAYPAL *FACTOR 02/11 #000536755 PURCHASE 2211 North First San Jose CA</t>
  </si>
  <si>
    <t>CHECKCARD 0210 PLATOS CLOSET SCOTTSDALE AZ 24013397041001479331807</t>
  </si>
  <si>
    <t>CHECKCARD 0211 FATE BREWING COMPANY SCOTTSDALE AZ 24013397042001559353191</t>
  </si>
  <si>
    <t>CHECKCARD 0210 VINCITORIO RESTAURANT TEMPE AZ 24013397042001526022911</t>
  </si>
  <si>
    <t>CHECKCARD 0210 VENDING BESTFIT SCOTTSDALE AZ 24013397041001474827056</t>
  </si>
  <si>
    <t>CHECKCARD 0210 AMAZON.COM AMZN.COM/BIL AMZN.COM/BILLWA 24431067041083311433622</t>
  </si>
  <si>
    <t>CHECKCARD 0210 VENDING BESTFIT SCOTTSDALE AZ 24013397042001519019338</t>
  </si>
  <si>
    <t>CHECKCARD 0210 MCDONALD'S F11120 SCOTTSDALE AZ 24427337042710062543587</t>
  </si>
  <si>
    <t>CHECKCARD 0209 SUBWAY 00514497 TEMPE AZ 24164077041255186438207</t>
  </si>
  <si>
    <t>VENMO DES:CASHOUT ID:XXXXX3906 INDN:JOSE SOTELO CO ID:XXXXX81992 PPD</t>
  </si>
  <si>
    <t>PAYPAL DES:TRANSFER ID:4F922A2B4G5TN INDN:JOSE SOTELO CO ID:PAYPALSD11 PPD</t>
  </si>
  <si>
    <t>PAYPAL DES:TRANSFER ID:4F922A2BNNCFU INDN:JOSE SOTELO CO ID:PAYPALSD11 PPD</t>
  </si>
  <si>
    <t>BKOFAMERICA ATM 02/13 #000009398 DEPOSIT WARNER &amp; MCCLINT TEMPE AZ</t>
  </si>
  <si>
    <t>FOOD CITY #041 02/14 #000146772 PURCHASE 1845 N SCOTTSDALE TEMPE AZ</t>
  </si>
  <si>
    <t>CHECKCARD 0213 DAIRY QUEEN #13526 SCOTTSDALE AZ 24231687045207888600932</t>
  </si>
  <si>
    <t>CHECKCARD 0213 MCDONALD'S F10384 TEMPE AZ 24427337044720064462791</t>
  </si>
  <si>
    <t>CHECKCARD 0213 BURGER KING #11523 CHANDLER AZ 24186167045207699600897</t>
  </si>
  <si>
    <t>CHECKCARD 0213 MCDONALD'S F10384 TEMPE AZ 24427337044720064461579</t>
  </si>
  <si>
    <t>CHECKCARD 0213 VENDING BESTFIT SCOTTSDALE AZ 24013397044001927140583</t>
  </si>
  <si>
    <t>PAYPAL DES:TRANSFER ID:4F922A2E9XQD2 INDN:JOSE SOTELO CO ID:PAYPALSD11 PPD</t>
  </si>
  <si>
    <t>FID BKG SVC LLC DES:MONEYLINE ID:X869104281BSU8W INDN:JOSE G SOTELO CO ID:XXXXX04600 PPD</t>
  </si>
  <si>
    <t>PAYPAL *BEYAGI 02/15 #000223466 PURCHASE 2211 North First San Jose CA</t>
  </si>
  <si>
    <t>CIRCLE K 09163 02/15 #000238440 PURCHASE CIRCLE K 09163 CHANDLER AZ</t>
  </si>
  <si>
    <t>CHECKCARD 0214 MCDONALD'S F10384 TEMPE AZ 24427337045720065479363</t>
  </si>
  <si>
    <t>PAYPAL 02/15 #000173505 REFUND 2211 North First San Jose CA</t>
  </si>
  <si>
    <t>Was refunded barstools for purchase on 2/6/17</t>
  </si>
  <si>
    <t>STAR LIQUOR &amp; 02/16 #000870785 PURCHASE STAR LIQUOR &amp; CON TEMPE AZ</t>
  </si>
  <si>
    <t>CHECKCARD 0215 MASTEL CLEANERS SCOTTSDALE AZ 24692167047000946112872</t>
  </si>
  <si>
    <t>CHECKCARD 0215 AMAZON.COM AMZN.COM/BIL AMZN.COM/BILLWA 24431067046083707439212</t>
  </si>
  <si>
    <t>CHECKCARD 0215 MCDONALD'S F10384 TEMPE AZ 24427337046720063212203</t>
  </si>
  <si>
    <t>CHECKCARD 0214 US FOOD CAFE TEMPE AZ 24765017046207788701486</t>
  </si>
  <si>
    <t>CHECKCARD 0214 LOS TAQUITOS CHANDLER AZ 24692167046000752777926</t>
  </si>
  <si>
    <t>Sold 3 barstools to Mike</t>
  </si>
  <si>
    <t>Sent money to Andrew for refunded barstools</t>
  </si>
  <si>
    <t>CHECKCARD 0216 VERIZON WRL MY ACCT VW 800-9220204 CA 24498047047666192382706</t>
  </si>
  <si>
    <t>CHECKCARD 0216 MCDONALD'S F10384 TEMPE AZ 24427337047720067152479</t>
  </si>
  <si>
    <t>CHECKCARD 0215 BARROS PIZZA - CHANDLER CHANDLER AZ 24269797047100260206438</t>
  </si>
  <si>
    <t>PAYPAL DES:TRANSFER ID:4F922A2HD539A INDN:JOSE SOTELO CO ID:PAYPALSD11 PPD</t>
  </si>
  <si>
    <t>PAYPAL DES:TRANSFER ID:4F922A2HD9LM2 INDN:JOSE SOTELO CO ID:PAYPALSD11 PPD</t>
  </si>
  <si>
    <t>Tainted Love Party</t>
  </si>
  <si>
    <t>CHECKCARD 0220 OSCAR'S MARKET TEMPE AZ 24765017052286000000167</t>
  </si>
  <si>
    <t>DEEVA ENTERPRI 02/20 #000029344 PURCHASE 7607 E MCDOWELL R SCOTTSDALE AZ</t>
  </si>
  <si>
    <t>CHECKCARD 0220 OSCAR'S MARKET TEMPE AZ 24765017052286000000134</t>
  </si>
  <si>
    <t>CHECKCARD 0220 OSCAR'S MARKET TEMPE AZ 24765017052286000000084</t>
  </si>
  <si>
    <t>CHECKCARD 0220 PANDA EXPRESS #2114 SCOTTSDALE AZ 24431067052838000005577</t>
  </si>
  <si>
    <t>HILIFE SMOKE S 02/20 #000841685 PURCHASE HILIFE SMOKE SHOP SCOTTSDALE AZ</t>
  </si>
  <si>
    <t>HILIFE SMOKE S 02/19 #000758612 PURCHASE HILIFE SMOKE SHOP SCOTTSDALE AZ</t>
  </si>
  <si>
    <t>BASHAS' #003 02/18 #000875414 PURCHASE 3320 N. 7TH AVE PHOENIX AZ</t>
  </si>
  <si>
    <t>STAR LIQUOR &amp; 02/18 #000852799 PURCHASE STAR LIQUOR &amp; CON TEMPE AZ</t>
  </si>
  <si>
    <t>STAR LIQUOR &amp; 02/18 #000371378 PURCHASE STAR LIQUOR &amp; CON TEMPE AZ</t>
  </si>
  <si>
    <t>CHECKCARD 0217 SMASHBURGER #1423 TEMPE AZ 24224437049104011284665</t>
  </si>
  <si>
    <t>CHECKCARD 0217 HAUTLK RACK8885478438 188-854-7843 CA 24445007049600198978460</t>
  </si>
  <si>
    <t>CHECKCARD 0217 MCDONALD'S F10384 TEMPE AZ 24427337048720071391153</t>
  </si>
  <si>
    <t>CHECKCARD 0217 QUICK N CLEAN - 19 SCOTTSDALE AZ 24269797049100341344511</t>
  </si>
  <si>
    <t>BKOFAMERICA ATM 02/18 #000004979 DEPOSIT SCOTTSDALE &amp; EAR SCOTTSDALE AZ</t>
  </si>
  <si>
    <t>x</t>
  </si>
  <si>
    <t>BKOFAMERICA ATM 02/18 #000009869 DEPOSIT SOUTHERN &amp; MCCLI TEMPE AZ</t>
  </si>
  <si>
    <t>PAYPAL DES:TRANSFER ID:4F922A2NP82C6 INDN:JOSE SOTELO CO ID:PAYPALSD22 WEB</t>
  </si>
  <si>
    <t>CHECKCARD 0221 OSCAR'S MARKET TEMPE AZ 24765017053286000000158</t>
  </si>
  <si>
    <t>CHECKCARD 0221 MCDONALD'S F10384 TEMPE AZ 24427337052720063184296</t>
  </si>
  <si>
    <t>CHECKCARD 0220 VENDING BESTFIT SCOTTSDALE AZ 24013397052003032386373</t>
  </si>
  <si>
    <t>PAYPAL DES:TRANSFER ID:4F922A2NP8ULE INDN:JOSE SOTELO CO ID:PAYPALSD11 PPD</t>
  </si>
  <si>
    <t>CHECKCARD 0222 VENDING BESTFIT SCOTTSDALE AZ 24013397053003279787001</t>
  </si>
  <si>
    <t>CHECKCARD 0222 MCDONALD'S F10384 TEMPE AZ 24427337053720065824658</t>
  </si>
  <si>
    <t>CHECKCARD 0221 MCDONALD'S F11340 CHANDLER AZ 24427337053710048781042</t>
  </si>
  <si>
    <t>CHECKCARD 0221 WENDY'S CHANDLER AZ 24445007053100231230931</t>
  </si>
  <si>
    <t>CHECKCARD 0221 VENDING BESTFIT SCOTTSDALE AZ 24013397053003181445029</t>
  </si>
  <si>
    <t>COSTCO WHSE #0 02/24 #000488727 PURCHASE COSTCO WHSE #0465 PHOENIX AZ</t>
  </si>
  <si>
    <t>Canopy, Batteries, and water</t>
  </si>
  <si>
    <t>COSTCO GAS #04 02/24 #000066483 PURCHASE COSTCO GAS #0465 PHOENIX AZ</t>
  </si>
  <si>
    <t>SHELL Service 02/24 #000103966 PURCHASE SHELL Service Sta TEMPE AZ</t>
  </si>
  <si>
    <t>CHECKCARD 0223 MCDONALD'S F10384 TEMPE AZ 24427337054720069535952</t>
  </si>
  <si>
    <t>CHECKCARD 0223 PANDA EXPRESS #529 GUADALUPE AZ 24431067055838000038450</t>
  </si>
  <si>
    <t>CHECKCARD 0222 WENDY'S CHANDLER AZ 24445007054100254776462</t>
  </si>
  <si>
    <t>BKOFAMERICA ATM 02/24 #000002243 DEPOSIT 44TH STREET &amp; TH PHOENIX AZ</t>
  </si>
  <si>
    <t>SPROUTS FARMER 02/27 #000841230 PURCHASE 1959 WEST RAY ROA CHANDLER AZ</t>
  </si>
  <si>
    <t>Soap</t>
  </si>
  <si>
    <t>STAR LIQUOR &amp; 02/26 #000426018 PURCHASE STAR LIQUOR &amp; CON TEMPE AZ</t>
  </si>
  <si>
    <t>CHECKCARD 0226 FATE BREWING COMPANY SCOTTSDALE AZ 24013397057003830369428</t>
  </si>
  <si>
    <t>SAFEWAY STORE 02/25 #000242119 PURCHASE SAFEWAY STORE 1 SCOTTSDALE AZ</t>
  </si>
  <si>
    <t>CHECKCARD 0224 THE VIG SCOTTSDALE SCOTTSDALE AZ 24765187057080080571817</t>
  </si>
  <si>
    <t>CHECKCARD 0224 ALOHA KITCHEN MESA AZ 24431067056206785102975</t>
  </si>
  <si>
    <t>CHECKCARD 0223 HABIT- S. TEMPE #40 TEMPE AZ 24055237055206888100020</t>
  </si>
  <si>
    <t>PAYPAL DES:TRANSFER ID:4F922A2TL5LD6 INDN:JOSE SOTELO CO ID:PAYPALSD11 PPD</t>
  </si>
  <si>
    <t>PAYPAL DES:TRANSFER ID:4F922A2SK98ZA INDN:JOSE SOTELO CO ID:PAYPALSD11 PPD</t>
  </si>
  <si>
    <t>CHECKCARD 0225 HAUTLK RACK8885478438 LOS ANGELES CA 74445007057600177604677</t>
  </si>
  <si>
    <t>PAYPAL DES:TRANSFER ID:4F922A2TL5HZ8 INDN:JOSE SOTELO CO ID:PAYPALSD11 PPD</t>
  </si>
  <si>
    <t>BKOFAMERICA ATM 02/25 #000008646 DEPOSIT SCOTTSDALE &amp; EAR SCOTTSDALE AZ</t>
  </si>
  <si>
    <t>Check 434</t>
  </si>
  <si>
    <t>STAR LIQUOR &amp; 02/28 #000463802 PURCHASE STAR LIQUOR &amp; CON TEMPE AZ</t>
  </si>
  <si>
    <t>SPROUTS FARMER 02/28 #000873283 PURCHASE 1959 WEST RAY ROA CHANDLER AZ</t>
  </si>
  <si>
    <t>CHECKCARD 0227 MCDONALD'S F10384 TEMPE AZ 24427337058720063163203</t>
  </si>
  <si>
    <t>CHECKCARD 0227 AMAZON MKTPLACE PMTS AMAZON MKTPLAWA 24692167058000774264270</t>
  </si>
  <si>
    <t>LOWE'S #1032 03/01 #000150539 PURCHASE LOWE'S #1032 CHANDLER AZ</t>
  </si>
  <si>
    <t>TJ MAXX #049 03/01 #000012904 PURCHASE 2660 W CHANDLER B CHANDLER AZ</t>
  </si>
  <si>
    <t>CHECKCARD 0228 MCDONALD'S F10384 TEMPE AZ 24427337059720066834825</t>
  </si>
  <si>
    <t>CHECKCARD 0227 DUNKIN #348936 Q35 TEMPE AZ 24610437059072017267589</t>
  </si>
  <si>
    <t>Cellphone Utility</t>
  </si>
  <si>
    <t>Account 8527338663</t>
  </si>
  <si>
    <t>SPROUTS FARMER 03/15 #000694028 PURCHASE 1959 WEST RAY ROA CHANDLER AZ</t>
  </si>
  <si>
    <t>CHECKCARD 0314 MCDONALD'S F10384 TEMPE AZ 24427337073720056103696</t>
  </si>
  <si>
    <t>CHECKCARD 0313 IN-N-OUT BURGER#195 TEMPE AZ 24445007073500487751132</t>
  </si>
  <si>
    <t>CHECKCARD 0313 VENDING BESTFIT SCOTTSDALE AZ 24013397073002032077383</t>
  </si>
  <si>
    <t>CHECKCARD 0312 MCDONALD'S F12536 SCOTTSDALE AZ 24427337072710035367836</t>
  </si>
  <si>
    <t>PAYPAL DES:TRANSFER ID:4F922A3DENM9A INDN:JOSE SOTELO CO ID:PAYPALSD11 PPD</t>
  </si>
  <si>
    <t>IT'S ALL GOODZ 03/12 #000517500 PURCHASE 933 E UNIVERSITY TEMPE AZ</t>
  </si>
  <si>
    <t>CHECKCARD 0312 DEFALCOS ITALIAN GROCE SCOTTSDALE AZ 24765017072206388000148</t>
  </si>
  <si>
    <t>CHECKCARD 0312 J'S MARKET LLC PHOENIX AZ 24493987071286597600759</t>
  </si>
  <si>
    <t>STAR LIQUOR &amp; 03/11 #000082532 PURCHASE STAR LIQUOR &amp; CON TEMPE AZ</t>
  </si>
  <si>
    <t>CHECKCARD 0311 SCRAMBLE BREAKFAST JOIN SCOTTSDALE AZ 24055237070200088300291</t>
  </si>
  <si>
    <t>CHECKCARD 0311 CARLSBAD TAVERN &amp; RESTA SCOTTSDALE AZ 24013397070001619599838</t>
  </si>
  <si>
    <t>CHECKCARD 0310 CARLSBAD TAVERN &amp; RESTA SCOTTSDALE AZ 24013397070001619600057</t>
  </si>
  <si>
    <t>CHECKCARD 0310 MCDONALD'S F11340 CHANDLER AZ 24427337070710064108145</t>
  </si>
  <si>
    <t>CHECKCARD 0310 WENDY'S CHANDLER AZ 24445007070100305956972</t>
  </si>
  <si>
    <t>CHECKCARD 0309 THE VIG SCOTTSDALE SCOTTSDALE AZ 24765187069080080691389</t>
  </si>
  <si>
    <t>CHECKCARD 0309 MCDONALD'S F11340 CHANDLER AZ 24427337069710056244760</t>
  </si>
  <si>
    <t>CHECKCARD 0309 WENDY'S CHANDLER AZ 24445007069100247809332</t>
  </si>
  <si>
    <t>CHECKCARD 0309 US FOOD CAFE TEMPE AZ 24765017069207788700597</t>
  </si>
  <si>
    <t>PAYPAL DES:TRANSFER ID:4F922A39VBLEE INDN:JOSE SOTELO CO ID:PAYPALSD11 PPD</t>
  </si>
  <si>
    <t>PAYPAL DES:TRANSFER ID:4F922A3C5PQ6C INDN:JOSE SOTELO CO ID:PAYPALSD11 PPD</t>
  </si>
  <si>
    <t>CHECKCARD 0309 MCDONALD'S F10384 TEMPE AZ 24427337068720069726613</t>
  </si>
  <si>
    <t>CHECKCARD 0308 WENDY'S CHANDLER AZ 24445007068100263565264</t>
  </si>
  <si>
    <t>CHECKCARD 0308 VENDING BESTFIT SCOTTSDALE AZ 24013397068001230022487</t>
  </si>
  <si>
    <t>FID BKG SVC LLC DES:MONEYLINE ID:X86910428126M8S INDN:JOSE G SOTELO CO ID:XXXXX04603 PPD</t>
  </si>
  <si>
    <t>Withdrew from Fidelity</t>
  </si>
  <si>
    <t>CHECKCARD 0309 AMAZON.COM AMZN.COM/BIL AMZN.COM/BILLWA 74431067068083006890808</t>
  </si>
  <si>
    <t>Returned Magnanni's</t>
  </si>
  <si>
    <t>STAR LIQUOR &amp; 03/08 #000600529 PURCHASE STAR LIQUOR &amp; CON TEMPE AZ</t>
  </si>
  <si>
    <t>CHECKCARD 0309 AmazonPrime Membership amzn.com/prmeWA 24692167068000730236410 RECURRING</t>
  </si>
  <si>
    <t>CHECKCARD 0308 HAUTLK RACK8885478438 188-854-7843 CA 24445007068600175585722</t>
  </si>
  <si>
    <t>Investment Shoes</t>
  </si>
  <si>
    <t>CHECKCARD 0308 MCDONALD'S F10384 TEMPE AZ 24427337067720067373674</t>
  </si>
  <si>
    <t>CHECKCARD 0307 US FOOD CAFE TEMPE AZ 24765017067207788701571</t>
  </si>
  <si>
    <t>CHECKCARD 0307 BARROS PIZZA - CHANDLER CHANDLER AZ 24269797067100328290031</t>
  </si>
  <si>
    <t>CHECKCARD 0307 DUNKIN #347629 Q3 TEMPE AZ 24610437067072002805062</t>
  </si>
  <si>
    <t>PAYPAL DES:TRANSFER ID:4F922A38435Q8 INDN:JOSE SOTELO CO ID:PAYPALSD11 PPD</t>
  </si>
  <si>
    <t>FOOD CITY #041 03/08 #000352675 PURCHASE 1845 N SCOTTSDALE TEMPE AZ</t>
  </si>
  <si>
    <t>FOOD CITY #041 03/08 #000329887 PURCHASE 1845 N SCOTTSDALE TEMPE AZ</t>
  </si>
  <si>
    <t>CHECKCARD 0306 HABIT- S. TEMPE #40 TEMPE AZ 24055237066206888100043</t>
  </si>
  <si>
    <t>CHECKCARD 0306 DUNKIN #348936 Q35 TEMPE AZ 24610437066072019263595</t>
  </si>
  <si>
    <t>TEMPE 03/07 #000044300 PURCHASE 1545 N SCOTTSDALE TEMPE AZ</t>
  </si>
  <si>
    <t>CHECKCARD 0305 LITTLE CHICAGO PIZZA SCOTTSDALE AZ 24801637065286017316818</t>
  </si>
  <si>
    <t>CHECKCARD 0305 TACOS CHIWAS PHOENIX AZ 24327437065471603860896</t>
  </si>
  <si>
    <t>CHECKCARD 0304 LOCO PATRON TEMPE AZ 24695887065900018566862</t>
  </si>
  <si>
    <t>PAYPAL DES:TRANSFER ID:4F922A35PAW42 INDN:JOSE SOTELO CO ID:PAYPALSD11 PPD</t>
  </si>
  <si>
    <t>BKOFAMERICA ATM 03/07 #000006041 DEPOSIT PARADISE VALLEY PHOENIX AZ</t>
  </si>
  <si>
    <t>CHECKCARD 0305 AMAZON.COM AMZN.COM/BIL AMZN.COM/BILLWA 24431067065083357720636</t>
  </si>
  <si>
    <t>CHECKCARD 0305 THE LOST LEAF PHOENIX AZ 24013397064000647800547</t>
  </si>
  <si>
    <t>CHECKCARD 0305 FGT*MCDOWELL 512-389-0315 TX 24692167064000501573300</t>
  </si>
  <si>
    <t>CHECKCARD 0304 STATEFARM SBUX11326121 TEMPE AZ 24164077064937320203264</t>
  </si>
  <si>
    <t>CHECKCARD 0304 FATE BREWING COMPANY SCOTTSDALE AZ 24013397063000530496883</t>
  </si>
  <si>
    <t>CHECKCARD 0302 US FOOD CAFE TEMPE AZ 24765017062207788700701</t>
  </si>
  <si>
    <t>STAR LIQUOR &amp; 03/03 #000419944 PURCHASE STAR LIQUOR &amp; CON TEMPE AZ</t>
  </si>
  <si>
    <t>CHECKCARD 0302 ALOHA KITCHEN MESA AZ 24431067062206785600152</t>
  </si>
  <si>
    <t>CHECKCARD 0302 MCDONALD'S F10384 TEMPE AZ 24427337061720068431832</t>
  </si>
  <si>
    <t>CHECKCARD 0301 US FOOD CAFE TEMPE AZ 24765017061207788701635</t>
  </si>
  <si>
    <t>STAR LIQUOR &amp; 03/02 #000020785 PURCHASE STAR LIQUOR &amp; CON TEMPE AZ</t>
  </si>
  <si>
    <t>LOWE'S #1850 03/02 #000507169 PURCHASE LOWE'S #1850 SCOTTSDALE AZ</t>
  </si>
  <si>
    <t>CHECKCARD 0301 MCDONALD'S F25154 CHANDLER AZ 24427337060720069336460</t>
  </si>
  <si>
    <t>CHECKCARD 0301 ESPOS MEXICAN FOOD - A CHANDLER AZ 24269797061000882488516</t>
  </si>
  <si>
    <t>CHECKCARD 0301 MCDONALD'S F10384 TEMPE AZ 24427337060720069298348</t>
  </si>
  <si>
    <t>CHECKCARD 0301 VISIT PATREON.COM/INFO 877-887-7815 CA 24492157060637004556212 RECURRING</t>
  </si>
  <si>
    <t>CHECKCARD 0228 DUNKIN #348936 Q35 TEMPE AZ 24610437060072013719432</t>
  </si>
  <si>
    <t>CHECKCARD 0228 US FOOD CAFE TEMPE AZ 24765017060207788700646</t>
  </si>
  <si>
    <t>For Annalyn</t>
  </si>
  <si>
    <t>McDowell Music Festival</t>
  </si>
  <si>
    <t>Potluck at work</t>
  </si>
  <si>
    <t>Returned Alejandro's shirt</t>
  </si>
  <si>
    <t>Returned Gloves to Lowes</t>
  </si>
  <si>
    <t>Column Header</t>
  </si>
  <si>
    <t>Remove Spaces</t>
  </si>
  <si>
    <t>Make First Letter Lowercase</t>
  </si>
  <si>
    <t>Column Letter Variable</t>
  </si>
  <si>
    <t>Get Position Variable</t>
  </si>
  <si>
    <t>Cont Basis</t>
  </si>
  <si>
    <t>Patreon</t>
  </si>
  <si>
    <t>Cox Communications</t>
  </si>
  <si>
    <t>SW Gas</t>
  </si>
  <si>
    <t>Tempe Water</t>
  </si>
  <si>
    <t>SRP</t>
  </si>
  <si>
    <t>CHECKCARD 03/30 PANDA EXPRESS TEMPE AZ</t>
  </si>
  <si>
    <t>CHECKCARD 03/30 MCDONALD'S F10384 TEMPE AZ</t>
  </si>
  <si>
    <t>CHECKCARD 03/30 DUNKIN #347629 Q TEMPE AZ</t>
  </si>
  <si>
    <t>CHECKCARD EINSTEIN BROS BAG SCOTTSDALE AZ ON 03/29</t>
  </si>
  <si>
    <t>CHECKCARD MCDONALD'S F11340 CHANDLER AZ ON 03/28</t>
  </si>
  <si>
    <t>CHECKCARD WENDY'S CHANDLER AZ ON 03/28</t>
  </si>
  <si>
    <t>CHECKCARD 03/28 DUNKIN #348936 Q35 TEMPE AZ</t>
  </si>
  <si>
    <t>ACH CREDIT US FOODS, INC. DIR DEP ON 03/30</t>
  </si>
  <si>
    <t>VALERO IN THE 03/29 #000206470 PURCHASE VALERO IN THE ZON SCOTTSDALE AZ</t>
  </si>
  <si>
    <t>TEMPE 03/29 #000279400 PURCHASE 1545 N SCOTTSDALE TEMPE AZ</t>
  </si>
  <si>
    <t>CHECKCARD 0327 PORTILLOS HOT DOGS #35 TEMPE AZ 24789307087599902696098</t>
  </si>
  <si>
    <t>CHECKCARD 0327 DUNKIN #347629 Q3 TEMPE AZ 24610437087072017259590</t>
  </si>
  <si>
    <t>PAYPAL DES:TRANSFER ID:4F922A3W4QL3A INDN:JOSE SOTELO CO ID:PAYPALSD11 PPD</t>
  </si>
  <si>
    <t>WALGREENS STOR 03/28 #000022065 PURCHASE WALGREENS STORE 7 SCOTTSDALE AZ</t>
  </si>
  <si>
    <t>CHECKCARD 0326 POSTINO TEMPE TEMPE AZ 24688087086080080865962</t>
  </si>
  <si>
    <t>VALERO IN THE 03/27 #000077021 PURCHASE VALERO IN THE ZON SCOTTSDALE AZ</t>
  </si>
  <si>
    <t>CIRCLE K 03747 03/26 #000257165 PURCHASE CIRCLE K 03747 TEMPE AZ</t>
  </si>
  <si>
    <t>BURGER KING #4 03/26 #000822647 PURCHASE 6737 EAST THOMAS SCOTTSDALE AZ</t>
  </si>
  <si>
    <t>CHECKCARD 0324 EL HEFE SCOTTSDALE SCOTTSDALE AZ 24801667085700232803742</t>
  </si>
  <si>
    <t>CHECKCARD 0324 YARD HOUSE 83100083121 SCOTTSDALE AZ 24164077084574104880003</t>
  </si>
  <si>
    <t>CHECKCARD 0324 YUPHA'S THAI KITCHEN,L TEMPE AZ 24692167084000585518946</t>
  </si>
  <si>
    <t>CHECKCARD 0324 DUNKIN #348936 Q35 TEMPE AZ 24610437085072006067006</t>
  </si>
  <si>
    <t>CHECKCARD 0323 MCDONALD'S F10384 TEMPE AZ 24427337083710056632255</t>
  </si>
  <si>
    <t>CHECKCARD 0323 DUNKIN #348936 Q35 TEMPE AZ 24610437083072003055477</t>
  </si>
  <si>
    <t>TRADER JOE'S # 03/24 #000726883 PURCHASE TRADER JOE'S # 09 TEMPE AZ</t>
  </si>
  <si>
    <t>going out</t>
  </si>
  <si>
    <t>CHECKCARD 0323 PANDA EXPRESS #529 GUADALUPE AZ 24431067083838000008723</t>
  </si>
  <si>
    <t>CHECKCARD PORTILLOS HOT DOG Tempe AZ ON 03/21</t>
  </si>
  <si>
    <t>CHECKCARD 0321 MCDONALD'S F10384 TEMPE AZ 24427337081710050932489</t>
  </si>
  <si>
    <t>CHECKCARD 0321 DUNKIN #348936 Q35 TEMPE AZ 24610437081072002901491</t>
  </si>
  <si>
    <t>CHECKCARD 0321 DOWNTOWN TEMPE AUTHORIT TEMPE AZ 24055227081200575519732</t>
  </si>
  <si>
    <t>Parking</t>
  </si>
  <si>
    <t>CHECKCARD 0321 VENDING BESTFIT SCOTTSDALE AZ 24013397080003193188614</t>
  </si>
  <si>
    <t>CHECKCARD 0320 CHICK-FIL-A #02567 CHANDLER AZ 24427337080710016842070</t>
  </si>
  <si>
    <t>CHECKCARD 0320 DUNKIN #347629 Q3 TEMPE AZ 24610437080072022291270</t>
  </si>
  <si>
    <t>AFLAC DES:INSURANCE ID:PY3066820117079 INDN:SOTELO, JOSE CO ID:XXXXX63085 PPD</t>
  </si>
  <si>
    <t>Insurance</t>
  </si>
  <si>
    <t>CHECKCARD 0318 MASTEL CLEANERS SCOTTSDALE AZ 24789307079545103050528</t>
  </si>
  <si>
    <t>CHECKCARD 0317 ROADHOUSE CINEMAS S 480-7507295 AZ 24559307079400760012833</t>
  </si>
  <si>
    <t>PAYPAL DES:INST XFER ID:ARIZONAARTI INDN:JOSE SOTELO CO ID:PAYPALSI77 WEB</t>
  </si>
  <si>
    <t>Saguaro Man ticket</t>
  </si>
  <si>
    <t>CHECKCARD 0319 QT 431 05004312 MESA AZ 24399007078993100233987</t>
  </si>
  <si>
    <t>FRYS FOOD &amp; DR 03/18 #000082261 PURCHASE 7770 E. MCDOWELL SCOTTSDALE AZ</t>
  </si>
  <si>
    <t>CHECKCARD 0318 DEFALCOS ITALIAN GROCE SCOTTSDALE AZ 24765017078206388003666</t>
  </si>
  <si>
    <t>IT'S ALL GOODZ 03/18 #000519510 PURCHASE 933 E UNIVERSITY TEMPE AZ</t>
  </si>
  <si>
    <t>CHECKCARD 0317 ROADHOUSE CINEMAS S SCOTTSDALE AZ 24559307078900011809623</t>
  </si>
  <si>
    <t>CHECKCARD 0319 ARIZONA PRIVATE EDUCAT 480-699-8911 AZ 24692167078000774502410</t>
  </si>
  <si>
    <t>taxes</t>
  </si>
  <si>
    <t>CHECKCARD 0317 PANDA EXPRESS #529 GUADALUPE AZ 24431067077838000094184</t>
  </si>
  <si>
    <t>lunch</t>
  </si>
  <si>
    <t>CHECKCARD 0317 DUNKIN #348936 Q35 TEMPE AZ 24610437077072021521839</t>
  </si>
  <si>
    <t>breakfast</t>
  </si>
  <si>
    <t>CHECKCARD 0317 QUICK N CLEAN - 19 SCOTTSDALE AZ 24269797077100404621776</t>
  </si>
  <si>
    <t>CHECKCARD 0317 VENDING BESTFIT SCOTTSDALE AZ 24013397077002626872393</t>
  </si>
  <si>
    <t>CHECKCARD 0316 VERIZON WRL MY ACCT VW 800-9220204 CA 24498047076666125720695</t>
  </si>
  <si>
    <t>CHECKCARD 0317 TEMPE UTILITIES TEMPE AZ 24761977077838031109530</t>
  </si>
  <si>
    <t>CHECKCARD 0316 MCDONALD'S F10384 TEMPE AZ 24427337076710057036455</t>
  </si>
  <si>
    <t>FRYS FOOD &amp; DR 03/17 #000084789 PURCHASE 7770 E. MCDOWELL SCOTTSDALE AZ</t>
  </si>
  <si>
    <t>COSTCO GAS #04 03/17 #000273257 PURCHASE COSTCO GAS #0465 PHOENIX AZ</t>
  </si>
  <si>
    <t>CHECKCARD 0316 PANDA EXPRESS #529 GUADALUPE AZ 24431067076838000090704</t>
  </si>
  <si>
    <t>CHECKCARD 0315 MCDONALD'S F10384 TEMPE AZ 24427337075710053123902</t>
  </si>
  <si>
    <t>IT'S ALL GOODZ 03/16 #000518780 PURCHASE 933 E UNIVERSITY TEMPE AZ</t>
  </si>
  <si>
    <t>TRADER JOE'S # 03/16 #000555131 PURCHASE TRADER JOE'S # 09 TEMPE AZ</t>
  </si>
  <si>
    <t>SHELL Service 03/16 #000071417 PURCHASE SHELL Service Sta TEMPE AZ</t>
  </si>
  <si>
    <t>CHECKCARD 0315 VENDING BESTFIT SCOTTSDALE AZ 24013397074002278140654</t>
  </si>
  <si>
    <t>CHECKCARD 0314 WENDY'S CHANDLER AZ 24445007074100159422036</t>
  </si>
  <si>
    <t>CHECKCARD 0314 VENDING BESTFIT SCOTTSDALE AZ 24013397074002172293922</t>
  </si>
  <si>
    <t>Unknown</t>
  </si>
  <si>
    <t>J for entertainment</t>
  </si>
  <si>
    <t>Gracie's friend</t>
  </si>
  <si>
    <t>Mom gave me birthday money</t>
  </si>
  <si>
    <t>Mom Birthday Gift</t>
  </si>
  <si>
    <t>Boyce Thompson Arboretum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</si>
</sst>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[$-409]h:mm\ AM/PM;@"/>
    <numFmt numFmtId="165" formatCode="0.0000000%"/>
    <numFmt numFmtId="166" formatCode="0.0000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44" fontId="0" fillId="0" borderId="0" xfId="0" applyNumberFormat="1"/>
    <xf numFmtId="0" fontId="0" fillId="2" borderId="1" xfId="0" applyFill="1" applyBorder="1" applyProtection="1"/>
    <xf numFmtId="0" fontId="0" fillId="0" borderId="2" xfId="0" applyBorder="1" applyAlignment="1" applyProtection="1">
      <alignment horizontal="center"/>
      <protection locked="0"/>
    </xf>
    <xf numFmtId="18" fontId="0" fillId="0" borderId="0" xfId="0" applyNumberFormat="1"/>
    <xf numFmtId="0" fontId="0" fillId="2" borderId="3" xfId="0" applyFill="1" applyBorder="1" applyProtection="1"/>
    <xf numFmtId="0" fontId="0" fillId="2" borderId="2" xfId="0" applyFill="1" applyBorder="1" applyProtection="1"/>
    <xf numFmtId="164" fontId="0" fillId="0" borderId="2" xfId="0" applyNumberFormat="1" applyBorder="1" applyProtection="1">
      <protection locked="0"/>
    </xf>
    <xf numFmtId="0" fontId="0" fillId="0" borderId="0" xfId="0" applyNumberFormat="1"/>
    <xf numFmtId="2" fontId="0" fillId="0" borderId="0" xfId="0" applyNumberFormat="1"/>
    <xf numFmtId="0" fontId="0" fillId="2" borderId="4" xfId="0" applyFill="1" applyBorder="1" applyProtection="1"/>
    <xf numFmtId="164" fontId="0" fillId="2" borderId="2" xfId="0" applyNumberFormat="1" applyFill="1" applyBorder="1" applyProtection="1"/>
    <xf numFmtId="0" fontId="0" fillId="0" borderId="0" xfId="0" applyProtection="1"/>
    <xf numFmtId="22" fontId="0" fillId="0" borderId="0" xfId="0" quotePrefix="1" applyNumberFormat="1"/>
    <xf numFmtId="0" fontId="2" fillId="0" borderId="5" xfId="0" applyFont="1" applyBorder="1" applyProtection="1"/>
    <xf numFmtId="164" fontId="2" fillId="0" borderId="2" xfId="0" applyNumberFormat="1" applyFont="1" applyBorder="1" applyProtection="1">
      <protection locked="0"/>
    </xf>
    <xf numFmtId="2" fontId="0" fillId="2" borderId="2" xfId="0" applyNumberFormat="1" applyFill="1" applyBorder="1" applyProtection="1"/>
    <xf numFmtId="0" fontId="0" fillId="0" borderId="6" xfId="0" applyBorder="1"/>
    <xf numFmtId="0" fontId="0" fillId="0" borderId="0" xfId="0" applyBorder="1"/>
    <xf numFmtId="0" fontId="0" fillId="0" borderId="7" xfId="0" applyBorder="1"/>
    <xf numFmtId="44" fontId="0" fillId="0" borderId="0" xfId="1" applyFont="1"/>
    <xf numFmtId="165" fontId="0" fillId="0" borderId="8" xfId="2" applyNumberFormat="1" applyFont="1" applyBorder="1"/>
    <xf numFmtId="44" fontId="0" fillId="0" borderId="6" xfId="1" applyFont="1" applyBorder="1"/>
    <xf numFmtId="44" fontId="0" fillId="0" borderId="0" xfId="1" applyFont="1" applyBorder="1"/>
    <xf numFmtId="165" fontId="0" fillId="0" borderId="0" xfId="2" applyNumberFormat="1" applyFont="1"/>
    <xf numFmtId="166" fontId="0" fillId="0" borderId="0" xfId="2" applyNumberFormat="1" applyFont="1"/>
    <xf numFmtId="44" fontId="0" fillId="0" borderId="0" xfId="1" applyFont="1" applyFill="1" applyBorder="1"/>
    <xf numFmtId="44" fontId="0" fillId="0" borderId="9" xfId="1" applyFont="1" applyBorder="1"/>
    <xf numFmtId="0" fontId="3" fillId="0" borderId="0" xfId="0" applyFont="1"/>
    <xf numFmtId="9" fontId="2" fillId="0" borderId="0" xfId="2" applyFont="1"/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Currency" xfId="1" builtinId="4"/>
    <cellStyle name="Normal" xfId="0" builtinId="0"/>
    <cellStyle name="Percent" xfId="2" builtinId="5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ONAL"/>
    </sheet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3Q1700" refreshedDate="42824.678074305557" createdVersion="5" refreshedVersion="5" minRefreshableVersion="3" recordCount="326">
  <cacheSource type="worksheet">
    <worksheetSource ref="A1:H327" sheet="Budget"/>
  </cacheSource>
  <cacheFields count="8">
    <cacheField name="Expecting Date" numFmtId="14">
      <sharedItems containsSemiMixedTypes="0" containsNonDate="0" containsDate="1" containsString="0" minDate="2017-02-02T00:00:00" maxDate="2017-04-18T00:00:00"/>
    </cacheField>
    <cacheField name="Description" numFmtId="0">
      <sharedItems/>
    </cacheField>
    <cacheField name="Amount" numFmtId="0">
      <sharedItems containsSemiMixedTypes="0" containsString="0" containsNumber="1" minValue="-663" maxValue="1100.8599999999999"/>
    </cacheField>
    <cacheField name="Running Balance" numFmtId="0">
      <sharedItems containsSemiMixedTypes="0" containsString="0" containsNumber="1" minValue="1" maxValue="2118.85"/>
    </cacheField>
    <cacheField name="Category" numFmtId="0">
      <sharedItems count="41">
        <s v="Gas"/>
        <s v="Lunch"/>
        <s v="Breakfast"/>
        <s v="Art"/>
        <s v="Payroll"/>
        <s v="Gas Utility"/>
        <s v="Coffee"/>
        <s v="Barstools"/>
        <s v="Going Out"/>
        <s v="Potluck"/>
        <s v="Internet Utility"/>
        <s v="Electricity Utility"/>
        <s v="Whippits"/>
        <s v="Apparel"/>
        <s v="Christmas Gift"/>
        <s v="Water Utility"/>
        <s v="Amazon Prime"/>
        <s v="Alcohol"/>
        <s v="Dinner"/>
        <s v="Food"/>
        <s v="Investment"/>
        <s v="Andrew"/>
        <s v="Electronics"/>
        <s v="Cell Phone"/>
        <s v="Entertainment"/>
        <s v="Car Maintenance"/>
        <s v="Transportation"/>
        <s v="Burning"/>
        <s v="Household Consumables"/>
        <s v="Car Insurance"/>
        <s v="Rent"/>
        <s v="Home Maintenance"/>
        <s v="Alejandro Gift"/>
        <s v="Investment Shoes"/>
        <s v="taxes"/>
        <s v="Cellphone Utility"/>
        <s v="Mom Birthday Gift"/>
        <s v="Insurance"/>
        <s v="Parking"/>
        <s v="Medical"/>
        <s v="Unknown"/>
      </sharedItems>
    </cacheField>
    <cacheField name="Status" numFmtId="0">
      <sharedItems containsBlank="1"/>
    </cacheField>
    <cacheField name="Recurrence/Comments" numFmtId="0">
      <sharedItems containsBlank="1"/>
    </cacheField>
    <cacheField name="Due Dat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26">
  <r>
    <d v="2017-02-02T00:00:00"/>
    <s v="SHELL Service 02/02 #000496181 PURCHASE SHELL Service Sta SCOTTSDALE AZ"/>
    <n v="-21.87"/>
    <n v="1371.82"/>
    <x v="0"/>
    <m/>
    <m/>
    <m/>
  </r>
  <r>
    <d v="2017-02-02T00:00:00"/>
    <s v="CHECKCARD 0201 VENDING BESTFIT SCOTTSDALE AZ 24013397032000128918981"/>
    <n v="-1"/>
    <n v="1393.69"/>
    <x v="1"/>
    <m/>
    <m/>
    <m/>
  </r>
  <r>
    <d v="2017-02-02T00:00:00"/>
    <s v="CHECKCARD 0201 MCDONALD'S F10384 TEMPE AZ 24427337032720066150463"/>
    <n v="-1.62"/>
    <n v="1394.69"/>
    <x v="2"/>
    <m/>
    <m/>
    <m/>
  </r>
  <r>
    <d v="2017-02-02T00:00:00"/>
    <s v="CHECKCARD 0201 SBYRNE@PATREON.COM 877-887-7815 CA 24492157032637006509388 RECURRING"/>
    <n v="-10"/>
    <n v="1396.31"/>
    <x v="3"/>
    <m/>
    <m/>
    <m/>
  </r>
  <r>
    <d v="2017-02-02T00:00:00"/>
    <s v="ACH CREDIT US FOODS, INC. DIR DEP ON 02/02"/>
    <n v="1001.52"/>
    <n v="1406.31"/>
    <x v="4"/>
    <m/>
    <m/>
    <m/>
  </r>
  <r>
    <d v="2017-02-03T00:00:00"/>
    <s v="SOUTHWEST GAS DES:WEB ID:XXXXX78939024 INDN:SOTELO JOSE CO ID:XXXXX85720 WEB"/>
    <n v="-50.71"/>
    <n v="1364.09"/>
    <x v="5"/>
    <s v="ACH"/>
    <m/>
    <m/>
  </r>
  <r>
    <d v="2017-02-03T00:00:00"/>
    <s v="CHECKCARD 02/02 MCDONALD'S F10384 TEMPE AZ"/>
    <n v="-2.16"/>
    <n v="1414.8"/>
    <x v="2"/>
    <m/>
    <m/>
    <m/>
  </r>
  <r>
    <d v="2017-02-03T00:00:00"/>
    <s v="CHECKCARD 0202 VENDING BESTFIT SCOTTSDALE AZ 24013397033000286143074"/>
    <n v="-1"/>
    <n v="1416.96"/>
    <x v="1"/>
    <m/>
    <m/>
    <m/>
  </r>
  <r>
    <d v="2017-02-03T00:00:00"/>
    <s v="CHECKCARD 0201 STARBUCKS STORE 05378 TEMPE AZ 24692167033000108301145"/>
    <n v="-0.35"/>
    <n v="1417.96"/>
    <x v="6"/>
    <m/>
    <m/>
    <m/>
  </r>
  <r>
    <d v="2017-02-03T00:00:00"/>
    <s v="CHECKCARD 0201 HABIT- S. TEMPE #40 TEMPE AZ 24055237033206888100027"/>
    <n v="-3.51"/>
    <n v="1418.31"/>
    <x v="1"/>
    <m/>
    <m/>
    <m/>
  </r>
  <r>
    <d v="2017-02-03T00:00:00"/>
    <s v="PAYPAL DES:TRANSFER ID:4F922A227UUES INDN:JOSE SOTELO CO ID:PAYPALSD11 PPD"/>
    <n v="50"/>
    <n v="1421.82"/>
    <x v="7"/>
    <m/>
    <m/>
    <m/>
  </r>
  <r>
    <d v="2017-02-05T00:00:00"/>
    <s v="Football Party"/>
    <n v="-10"/>
    <n v="5"/>
    <x v="8"/>
    <m/>
    <m/>
    <m/>
  </r>
  <r>
    <d v="2017-02-06T00:00:00"/>
    <s v="VENMO DES:PAYMENT ID:XXXXX8803 INDN:JOSE SOTELO CO ID:XXXXX81992 WEB"/>
    <n v="-7"/>
    <n v="634.09"/>
    <x v="9"/>
    <s v="ACH"/>
    <m/>
    <m/>
  </r>
  <r>
    <d v="2017-02-06T00:00:00"/>
    <s v="COX COMM PHX DES:BANK DRAFT ID:XXXXX6769503001 INDN:Jose Sotelo CO ID:XXXXX98371 WEB"/>
    <n v="-57.99"/>
    <n v="641.09"/>
    <x v="10"/>
    <s v="ACH"/>
    <m/>
    <m/>
  </r>
  <r>
    <d v="2017-02-06T00:00:00"/>
    <s v="SRP DES:ECHEX PWR ID:XXXXX5001 INDN:Jose Sotelo CO ID:XXXXX00727 WEB"/>
    <n v="-69.88"/>
    <n v="699.08"/>
    <x v="11"/>
    <s v="ACH"/>
    <m/>
    <m/>
  </r>
  <r>
    <d v="2017-02-06T00:00:00"/>
    <s v="PAYPAL DES:INST XFER ID:BEYAGI INDN:JOSE SOTELO CO ID:PAYPALSI77 WEB"/>
    <n v="-123"/>
    <n v="768.96"/>
    <x v="7"/>
    <m/>
    <m/>
    <m/>
  </r>
  <r>
    <d v="2017-02-06T00:00:00"/>
    <s v="DEEVA ENTERPRI 02/06 #000028471 PURCHASE 7607 E MCDOWELL R SCOTTSDALE AZ"/>
    <n v="-12.94"/>
    <n v="891.96"/>
    <x v="12"/>
    <m/>
    <m/>
    <m/>
  </r>
  <r>
    <d v="2017-02-06T00:00:00"/>
    <s v="HILIFE SMOKE S 02/05 #000605695 PURCHASE HILIFE SMOKE SHOP SCOTTSDALE AZ"/>
    <n v="-23.2"/>
    <n v="904.9"/>
    <x v="12"/>
    <m/>
    <m/>
    <m/>
  </r>
  <r>
    <d v="2017-02-06T00:00:00"/>
    <s v="BURGER KING #4 02/05 #000501254 PURCHASE 6737 EAST THOMAS SCOTTSDALE AZ"/>
    <n v="-4.3"/>
    <n v="928.1"/>
    <x v="1"/>
    <m/>
    <m/>
    <m/>
  </r>
  <r>
    <d v="2017-02-06T00:00:00"/>
    <s v="HILIFE SMOKE S 02/05 #000970925 PURCHASE HILIFE SMOKE SHOP SCOTTSDALE AZ"/>
    <n v="-23.2"/>
    <n v="932.4"/>
    <x v="12"/>
    <m/>
    <m/>
    <m/>
  </r>
  <r>
    <d v="2017-02-06T00:00:00"/>
    <s v="DEEVA ENTERPRI 02/05 #000028382 PURCHASE 7607 E MCDOWELL R SCOTTSDALE AZ"/>
    <n v="-23.74"/>
    <n v="955.6"/>
    <x v="12"/>
    <m/>
    <m/>
    <m/>
  </r>
  <r>
    <d v="2017-02-06T00:00:00"/>
    <s v="IT'S ALL GOODZ 02/05 #000505590 PURCHASE 933 E UNIVERSITY TEMPE AZ"/>
    <n v="-37.81"/>
    <n v="979.34"/>
    <x v="12"/>
    <m/>
    <m/>
    <m/>
  </r>
  <r>
    <d v="2017-02-06T00:00:00"/>
    <s v="IT'S ALL GOODZ 02/04 #000505470 PURCHASE 933 E UNIVERSITY TEMPE AZ"/>
    <n v="-18.91"/>
    <n v="1017.15"/>
    <x v="12"/>
    <m/>
    <m/>
    <m/>
  </r>
  <r>
    <d v="2017-02-06T00:00:00"/>
    <s v="ZARA USA 6422 02/04 #000085528 PURCHASE ZARA USA 6422 SCOTTSDALE AZ"/>
    <n v="-10.78"/>
    <n v="1036.06"/>
    <x v="13"/>
    <m/>
    <m/>
    <m/>
  </r>
  <r>
    <d v="2017-02-06T00:00:00"/>
    <s v="ALDO US #2132 02/04 #000173794 PURCHASE 7014 E CAMELBACK SCOTTSDALE AZ"/>
    <n v="-9.6999999999999993"/>
    <n v="1046.8399999999999"/>
    <x v="13"/>
    <m/>
    <m/>
    <m/>
  </r>
  <r>
    <d v="2017-02-06T00:00:00"/>
    <s v="CHECKCARD 0204 POSTINO HIGHLAND SCOTTSDALE AZ 24688087036080080368893"/>
    <n v="-12.82"/>
    <n v="1056.54"/>
    <x v="8"/>
    <m/>
    <m/>
    <m/>
  </r>
  <r>
    <d v="2017-02-06T00:00:00"/>
    <s v="CHECKCARD 0203 HAUTLK RACK8885478438 188-854-7843 CA 24445007035600217163983"/>
    <n v="-239.47"/>
    <n v="1069.3599999999999"/>
    <x v="14"/>
    <m/>
    <m/>
    <m/>
  </r>
  <r>
    <d v="2017-02-06T00:00:00"/>
    <s v="CHECKCARD 0202 BARROS PIZZA - CHANDLER CHANDLER AZ 24269797034100260343707"/>
    <n v="-2.97"/>
    <n v="1308.83"/>
    <x v="1"/>
    <m/>
    <m/>
    <m/>
  </r>
  <r>
    <d v="2017-02-06T00:00:00"/>
    <s v="CHECKCARD 0203 TEMPE UTILITIES TEMPE AZ 24761977035838991245465"/>
    <n v="-52.29"/>
    <n v="1311.8"/>
    <x v="15"/>
    <m/>
    <m/>
    <m/>
  </r>
  <r>
    <d v="2017-02-07T00:00:00"/>
    <s v="PAYPAL *FACTOR 02/06 #000600183 PURCHASE 2211 North First San Jose CA"/>
    <n v="-119.98"/>
    <n v="729.11"/>
    <x v="7"/>
    <m/>
    <m/>
    <m/>
  </r>
  <r>
    <d v="2017-02-07T00:00:00"/>
    <s v="PAYPAL DES:TRANSFER ID:4F922A26TM9E4 INDN:JOSE SOTELO CO ID:PAYPALSD11 PPD"/>
    <n v="75"/>
    <n v="849.09"/>
    <x v="7"/>
    <s v="ACH"/>
    <m/>
    <m/>
  </r>
  <r>
    <d v="2017-02-07T00:00:00"/>
    <s v="BKOFAMERICA ATM 02/07 #000008271 DEPOSIT WARNER &amp; MCCLINT TEMPE AZ"/>
    <n v="140"/>
    <n v="774.09"/>
    <x v="7"/>
    <m/>
    <m/>
    <m/>
  </r>
  <r>
    <d v="2017-02-08T00:00:00"/>
    <s v="PAYPAL DES:INST XFER ID:BEYAGI INDN:JOSE SOTELO CO ID:PAYPALSI77 WEB"/>
    <n v="-70"/>
    <n v="714.48"/>
    <x v="7"/>
    <m/>
    <m/>
    <m/>
  </r>
  <r>
    <d v="2017-02-08T00:00:00"/>
    <s v="CHECKCARD 0207 MCDONALD'S F10384 TEMPE AZ 24427337038720060829488"/>
    <n v="-2.48"/>
    <n v="784.48"/>
    <x v="2"/>
    <m/>
    <m/>
    <m/>
  </r>
  <r>
    <d v="2017-02-08T00:00:00"/>
    <s v="CHECKCARD 0206 WENDY'S CHANDLER AZ 24445007038100202351633"/>
    <n v="-2.15"/>
    <n v="786.96"/>
    <x v="1"/>
    <m/>
    <m/>
    <m/>
  </r>
  <r>
    <d v="2017-02-08T00:00:00"/>
    <s v="PAYPAL DES:TRANSFER ID:4F922A27B3MSN INDN:JOSE SOTELO CO ID:PAYPALSD11 PPD"/>
    <n v="60"/>
    <n v="789.11"/>
    <x v="7"/>
    <m/>
    <m/>
    <m/>
  </r>
  <r>
    <d v="2017-02-09T00:00:00"/>
    <s v="PAYPAL *FACTOR 02/09 #000561211 PURCHASE 2211 North First San Jose CA"/>
    <n v="-179.97"/>
    <n v="948.59"/>
    <x v="7"/>
    <m/>
    <m/>
    <m/>
  </r>
  <r>
    <d v="2017-02-09T00:00:00"/>
    <s v="SHELL Service 02/09 #000268559 PURCHASE SHELL Service Sta SCOTTSDALE AZ"/>
    <n v="-10"/>
    <n v="1128.56"/>
    <x v="0"/>
    <m/>
    <m/>
    <m/>
  </r>
  <r>
    <d v="2017-02-09T00:00:00"/>
    <s v="PAYPAL *FACTOR 02/09 #000858052 PURCHASE 2211 North First San Jose CA"/>
    <n v="-119.98"/>
    <n v="1138.56"/>
    <x v="7"/>
    <m/>
    <m/>
    <m/>
  </r>
  <r>
    <d v="2017-02-09T00:00:00"/>
    <s v="CHECKCARD 0208 AmazonPrime Membership amzn.com/prmeWA 24692167039000862838898 RECURRING"/>
    <n v="-11.88"/>
    <n v="1258.54"/>
    <x v="16"/>
    <m/>
    <m/>
    <m/>
  </r>
  <r>
    <d v="2017-02-09T00:00:00"/>
    <s v="CHECKCARD 0208 LI'S ASIAN CUISINE TEMPE AZ 24431067040206874900031"/>
    <n v="-7.53"/>
    <n v="1270.42"/>
    <x v="1"/>
    <m/>
    <m/>
    <m/>
  </r>
  <r>
    <d v="2017-02-09T00:00:00"/>
    <s v="CHECKCARD 0207 LOS TAQUITOS CHANDLER AZ 24692167039000706298044"/>
    <n v="-5"/>
    <n v="1277.95"/>
    <x v="1"/>
    <m/>
    <m/>
    <m/>
  </r>
  <r>
    <d v="2017-02-09T00:00:00"/>
    <s v="CHECKCARD 0207 VENDING BESTFIT SCOTTSDALE AZ 24013397039001051104725"/>
    <n v="-1"/>
    <n v="1282.95"/>
    <x v="1"/>
    <m/>
    <m/>
    <m/>
  </r>
  <r>
    <d v="2017-02-09T00:00:00"/>
    <s v="CHECKCARD 0208 HAUTLK RACK8885478438 LOS ANGELES CA 74445007040600207885478"/>
    <n v="239.47"/>
    <n v="1283.95"/>
    <x v="14"/>
    <m/>
    <m/>
    <m/>
  </r>
  <r>
    <d v="2017-02-09T00:00:00"/>
    <s v="KOFAMERICA ATM 02/09 #000001321 DEPOSIT SCOTTSDALE &amp; EAR SCOTTSDALE AZ"/>
    <n v="330"/>
    <n v="1044.48"/>
    <x v="7"/>
    <m/>
    <m/>
    <m/>
  </r>
  <r>
    <d v="2017-02-10T00:00:00"/>
    <s v="VENMO DES:PAYMENT ID:XXXXX5184 INDN:JOSE SOTELO CO ID:XXXXX81992 WEB"/>
    <n v="-50"/>
    <n v="687.71"/>
    <x v="7"/>
    <m/>
    <m/>
    <m/>
  </r>
  <r>
    <d v="2017-02-10T00:00:00"/>
    <s v="VENMO DES:PAYMENT ID:XXXXX7322 INDN:JOSE SOTELO CO ID:XXXXX81992 WEB"/>
    <n v="-50"/>
    <n v="737.71"/>
    <x v="7"/>
    <m/>
    <m/>
    <m/>
  </r>
  <r>
    <d v="2017-02-10T00:00:00"/>
    <s v="VENMO DES:PAYMENT ID:XXXXX5243 INDN:JOSE SOTELO CO ID:XXXXX81992 WEB"/>
    <n v="-65"/>
    <n v="787.71"/>
    <x v="7"/>
    <m/>
    <m/>
    <m/>
  </r>
  <r>
    <d v="2017-02-10T00:00:00"/>
    <s v="PAYPAL *FACTOR 02/10 #000673799 PURCHASE 2211 North First San Jose CA"/>
    <n v="-239.96"/>
    <n v="852.71"/>
    <x v="7"/>
    <m/>
    <m/>
    <m/>
  </r>
  <r>
    <d v="2017-02-10T00:00:00"/>
    <s v="CHECKCARD 0209 MCDONALD'S F10384 TEMPE AZ 24427337040720061626335"/>
    <n v="-1.61"/>
    <n v="1092.67"/>
    <x v="6"/>
    <m/>
    <m/>
    <m/>
  </r>
  <r>
    <d v="2017-02-10T00:00:00"/>
    <s v="CHECKCARD 0209 MCDONALD'S F10384 TEMPE AZ 24427337040720061624330"/>
    <n v="-1.62"/>
    <n v="1094.28"/>
    <x v="2"/>
    <m/>
    <m/>
    <m/>
  </r>
  <r>
    <d v="2017-02-10T00:00:00"/>
    <s v="CHECKCARD 0208 MCDONALD'S F11120 SCOTTSDALE AZ 24427337039720064920688"/>
    <n v="-2.69"/>
    <n v="1095.9000000000001"/>
    <x v="2"/>
    <m/>
    <m/>
    <m/>
  </r>
  <r>
    <d v="2017-02-10T00:00:00"/>
    <s v="PAYPAL DES:TRANSFER ID:4F922A2A2YLK6 INDN:JOSE SOTELO CO ID:PAYPALSD11 PPD"/>
    <n v="60"/>
    <n v="1098.5899999999999"/>
    <x v="7"/>
    <m/>
    <m/>
    <m/>
  </r>
  <r>
    <d v="2017-02-10T00:00:00"/>
    <s v="VENMO DES:CASHOUT ID:XXXXX7684 INDN:JOSE SOTELO CO ID:XXXXX81992 PPD"/>
    <n v="90"/>
    <n v="1038.5899999999999"/>
    <x v="7"/>
    <m/>
    <m/>
    <m/>
  </r>
  <r>
    <d v="2017-02-13T00:00:00"/>
    <s v="PAYPAL DES:INST XFER ID:BEYAGI INDN:JOSE SOTELO CO ID:PAYPALSI77 WEB"/>
    <n v="-61"/>
    <n v="508.03"/>
    <x v="7"/>
    <m/>
    <m/>
    <m/>
  </r>
  <r>
    <d v="2017-02-13T00:00:00"/>
    <s v="VENMO DES:PAYMENT ID:XXXXX5958 INDN:JOSE SOTELO CO ID:XXXXX81992 WEB"/>
    <n v="-100"/>
    <n v="569.03"/>
    <x v="7"/>
    <m/>
    <m/>
    <m/>
  </r>
  <r>
    <d v="2017-02-13T00:00:00"/>
    <s v="CHECKCARD 0212 OSCAR'S MARKET TEMPE AZ 24765017044286000000275"/>
    <n v="-14.07"/>
    <n v="669.03"/>
    <x v="12"/>
    <m/>
    <m/>
    <m/>
  </r>
  <r>
    <d v="2017-02-13T00:00:00"/>
    <s v="CIRCLE K 03747 02/12 #000468687 PURCHASE CIRCLE K 03747 TEMPE AZ"/>
    <n v="-3.34"/>
    <n v="683.1"/>
    <x v="17"/>
    <m/>
    <m/>
    <m/>
  </r>
  <r>
    <d v="2017-02-13T00:00:00"/>
    <s v="BURGER KING #4 02/12 #000351321 PURCHASE 6737 EAST THOMAS SCOTTSDALE AZ"/>
    <n v="-4.3"/>
    <n v="686.44"/>
    <x v="18"/>
    <m/>
    <m/>
    <m/>
  </r>
  <r>
    <d v="2017-02-13T00:00:00"/>
    <s v="IT'S ALL GOODZ 02/13 #000508140 PURCHASE 933 E UNIVERSITY TEMPE AZ"/>
    <n v="-20"/>
    <n v="690.74"/>
    <x v="12"/>
    <m/>
    <m/>
    <m/>
  </r>
  <r>
    <d v="2017-02-13T00:00:00"/>
    <s v="SHELL Service 02/12 #000360680 PURCHASE SHELL Service Sta TEMPE AZ"/>
    <n v="-10"/>
    <n v="710.74"/>
    <x v="0"/>
    <m/>
    <m/>
    <m/>
  </r>
  <r>
    <d v="2017-02-13T00:00:00"/>
    <s v="CHECKCARD 0212 MOJO PALACE LLC MESA AZ 24013397043001764191385"/>
    <n v="-27.01"/>
    <n v="720.74"/>
    <x v="12"/>
    <m/>
    <m/>
    <m/>
  </r>
  <r>
    <d v="2017-02-13T00:00:00"/>
    <s v="IT'S ALL GOODZ 02/12 #000507980 PURCHASE 933 E UNIVERSITY TEMPE AZ"/>
    <n v="-20.84"/>
    <n v="747.75"/>
    <x v="12"/>
    <m/>
    <m/>
    <m/>
  </r>
  <r>
    <d v="2017-02-13T00:00:00"/>
    <s v="CHECKCARD 0211 MCDONALD'S F11120 SCOTTSDALE AZ 24427337043710058596176"/>
    <n v="-3.33"/>
    <n v="768.59"/>
    <x v="18"/>
    <m/>
    <m/>
    <m/>
  </r>
  <r>
    <d v="2017-02-13T00:00:00"/>
    <s v="IT'S ALL GOODZ 02/11 #704357507900 PURCHASE 933 E UNIVERSITY DR TEMPE AZ"/>
    <n v="-20.420000000000002"/>
    <n v="771.92"/>
    <x v="12"/>
    <m/>
    <m/>
    <m/>
  </r>
  <r>
    <d v="2017-02-13T00:00:00"/>
    <s v="IT'S ALL GOODZ 02/12 #000507840 PURCHASE 933 E UNIVERSITY TEMPE AZ"/>
    <n v="-40.840000000000003"/>
    <n v="792.34"/>
    <x v="12"/>
    <m/>
    <m/>
    <m/>
  </r>
  <r>
    <d v="2017-02-13T00:00:00"/>
    <s v="PAYPAL *FACTOR 02/11 #000536755 PURCHASE 2211 North First San Jose CA"/>
    <n v="-119.98"/>
    <n v="833.18"/>
    <x v="7"/>
    <m/>
    <m/>
    <m/>
  </r>
  <r>
    <d v="2017-02-13T00:00:00"/>
    <s v="CHECKCARD 0210 PLATOS CLOSET SCOTTSDALE AZ 24013397041001479331807"/>
    <n v="-8.6300000000000008"/>
    <n v="953.16"/>
    <x v="13"/>
    <m/>
    <m/>
    <m/>
  </r>
  <r>
    <d v="2017-02-13T00:00:00"/>
    <s v="CHECKCARD 0211 FATE BREWING COMPANY SCOTTSDALE AZ 24013397042001559353191"/>
    <n v="-15"/>
    <n v="961.79"/>
    <x v="8"/>
    <m/>
    <m/>
    <m/>
  </r>
  <r>
    <d v="2017-02-13T00:00:00"/>
    <s v="CHECKCARD 0210 VINCITORIO RESTAURANT TEMPE AZ 24013397042001526022911"/>
    <n v="-10"/>
    <n v="976.79"/>
    <x v="1"/>
    <m/>
    <m/>
    <m/>
  </r>
  <r>
    <d v="2017-02-13T00:00:00"/>
    <s v="CHECKCARD 0210 VENDING BESTFIT SCOTTSDALE AZ 24013397041001474827056"/>
    <n v="-1"/>
    <n v="986.79"/>
    <x v="1"/>
    <m/>
    <m/>
    <m/>
  </r>
  <r>
    <d v="2017-02-13T00:00:00"/>
    <s v="CHECKCARD 0210 AMAZON.COM AMZN.COM/BIL AMZN.COM/BILLWA 24431067041083311433622"/>
    <n v="-153.31"/>
    <n v="987.79"/>
    <x v="14"/>
    <m/>
    <m/>
    <m/>
  </r>
  <r>
    <d v="2017-02-13T00:00:00"/>
    <s v="CHECKCARD 0210 VENDING BESTFIT SCOTTSDALE AZ 24013397042001519019338"/>
    <n v="-1"/>
    <n v="1141.0999999999999"/>
    <x v="1"/>
    <m/>
    <m/>
    <m/>
  </r>
  <r>
    <d v="2017-02-13T00:00:00"/>
    <s v="CHECKCARD 0210 MCDONALD'S F11120 SCOTTSDALE AZ 24427337042710062543587"/>
    <n v="-1.83"/>
    <n v="1142.0999999999999"/>
    <x v="2"/>
    <m/>
    <m/>
    <m/>
  </r>
  <r>
    <d v="2017-02-13T00:00:00"/>
    <s v="CHECKCARD 0209 SUBWAY 00514497 TEMPE AZ 24164077041255186438207"/>
    <n v="-3.78"/>
    <n v="1143.93"/>
    <x v="1"/>
    <m/>
    <m/>
    <m/>
  </r>
  <r>
    <d v="2017-02-13T00:00:00"/>
    <s v="VENMO DES:CASHOUT ID:XXXXX3906 INDN:JOSE SOTELO CO ID:XXXXX81992 PPD"/>
    <n v="60"/>
    <n v="1147.71"/>
    <x v="7"/>
    <m/>
    <m/>
    <m/>
  </r>
  <r>
    <d v="2017-02-13T00:00:00"/>
    <s v="PAYPAL DES:TRANSFER ID:4F922A2B4G5TN INDN:JOSE SOTELO CO ID:PAYPALSD11 PPD"/>
    <n v="80"/>
    <n v="1087.71"/>
    <x v="7"/>
    <m/>
    <m/>
    <m/>
  </r>
  <r>
    <d v="2017-02-13T00:00:00"/>
    <s v="PAYPAL DES:TRANSFER ID:4F922A2BNNCFU INDN:JOSE SOTELO CO ID:PAYPALSD11 PPD"/>
    <n v="120"/>
    <n v="1007.71"/>
    <x v="7"/>
    <m/>
    <m/>
    <m/>
  </r>
  <r>
    <d v="2017-02-13T00:00:00"/>
    <s v="BKOFAMERICA ATM 02/13 #000009398 DEPOSIT WARNER &amp; MCCLINT TEMPE AZ"/>
    <n v="200"/>
    <n v="887.71"/>
    <x v="7"/>
    <m/>
    <m/>
    <m/>
  </r>
  <r>
    <d v="2017-02-14T00:00:00"/>
    <s v="FOOD CITY #041 02/14 #000146772 PURCHASE 1845 N SCOTTSDALE TEMPE AZ"/>
    <n v="-3.83"/>
    <n v="535.22"/>
    <x v="19"/>
    <m/>
    <m/>
    <m/>
  </r>
  <r>
    <d v="2017-02-14T00:00:00"/>
    <s v="CHECKCARD 0213 DAIRY QUEEN #13526 SCOTTSDALE AZ 24231687045207888600932"/>
    <n v="-10.78"/>
    <n v="539.04999999999995"/>
    <x v="8"/>
    <m/>
    <m/>
    <m/>
  </r>
  <r>
    <d v="2017-02-14T00:00:00"/>
    <s v="CHECKCARD 0213 MCDONALD'S F10384 TEMPE AZ 24427337044720064462791"/>
    <n v="-3.11"/>
    <n v="549.83000000000004"/>
    <x v="1"/>
    <m/>
    <m/>
    <m/>
  </r>
  <r>
    <d v="2017-02-14T00:00:00"/>
    <s v="CHECKCARD 0213 BURGER KING #11523 CHANDLER AZ 24186167045207699600897"/>
    <n v="-1.61"/>
    <n v="552.94000000000005"/>
    <x v="1"/>
    <m/>
    <m/>
    <m/>
  </r>
  <r>
    <d v="2017-02-14T00:00:00"/>
    <s v="CHECKCARD 0213 MCDONALD'S F10384 TEMPE AZ 24427337044720064461579"/>
    <n v="-2.48"/>
    <n v="554.54999999999995"/>
    <x v="2"/>
    <m/>
    <m/>
    <m/>
  </r>
  <r>
    <d v="2017-02-14T00:00:00"/>
    <s v="CHECKCARD 0213 VENDING BESTFIT SCOTTSDALE AZ 24013397044001927140583"/>
    <n v="-1"/>
    <n v="557.03"/>
    <x v="1"/>
    <m/>
    <m/>
    <m/>
  </r>
  <r>
    <d v="2017-02-14T00:00:00"/>
    <s v="PAYPAL DES:TRANSFER ID:4F922A2E9XQD2 INDN:JOSE SOTELO CO ID:PAYPALSD11 PPD"/>
    <n v="50"/>
    <n v="558.03"/>
    <x v="7"/>
    <m/>
    <m/>
    <m/>
  </r>
  <r>
    <d v="2017-02-15T00:00:00"/>
    <s v="FID BKG SVC LLC DES:MONEYLINE ID:X869104281BSU8W INDN:JOSE G SOTELO CO ID:XXXXX04600 PPD"/>
    <n v="-100"/>
    <n v="511.08"/>
    <x v="20"/>
    <m/>
    <m/>
    <m/>
  </r>
  <r>
    <d v="2017-02-15T00:00:00"/>
    <s v="PAYPAL *BEYAGI 02/15 #000223466 PURCHASE 2211 North First San Jose CA"/>
    <n v="-19.989999999999998"/>
    <n v="611.08000000000004"/>
    <x v="21"/>
    <m/>
    <m/>
    <m/>
  </r>
  <r>
    <d v="2017-02-15T00:00:00"/>
    <s v="CIRCLE K 09163 02/15 #000238440 PURCHASE CIRCLE K 09163 CHANDLER AZ"/>
    <n v="-22.51"/>
    <n v="631.07000000000005"/>
    <x v="0"/>
    <m/>
    <m/>
    <m/>
  </r>
  <r>
    <d v="2017-02-15T00:00:00"/>
    <s v="CHECKCARD 0214 MCDONALD'S F10384 TEMPE AZ 24427337045720065479363"/>
    <n v="-1.62"/>
    <n v="653.58000000000004"/>
    <x v="2"/>
    <m/>
    <m/>
    <m/>
  </r>
  <r>
    <d v="2017-02-15T00:00:00"/>
    <s v="PAYPAL 02/15 #000173505 REFUND 2211 North First San Jose CA"/>
    <n v="119.98"/>
    <n v="655.20000000000005"/>
    <x v="7"/>
    <m/>
    <s v="Was refunded barstools for purchase on 2/6/17"/>
    <m/>
  </r>
  <r>
    <d v="2017-02-15T00:00:00"/>
    <s v="Star Liquor"/>
    <n v="-4"/>
    <n v="1"/>
    <x v="17"/>
    <m/>
    <m/>
    <m/>
  </r>
  <r>
    <d v="2017-02-16T00:00:00"/>
    <s v="STAR LIQUOR &amp; 02/16 #000870785 PURCHASE STAR LIQUOR &amp; CON TEMPE AZ"/>
    <n v="-2.3199999999999998"/>
    <n v="1484.67"/>
    <x v="19"/>
    <m/>
    <m/>
    <m/>
  </r>
  <r>
    <d v="2017-02-16T00:00:00"/>
    <s v="CHECKCARD 0215 MASTEL CLEANERS SCOTTSDALE AZ 24692167047000946112872"/>
    <n v="-4.7699999999999996"/>
    <n v="1486.99"/>
    <x v="13"/>
    <m/>
    <m/>
    <m/>
  </r>
  <r>
    <d v="2017-02-16T00:00:00"/>
    <s v="CHECKCARD 0215 AMAZON.COM AMZN.COM/BIL AMZN.COM/BILLWA 24431067046083707439212"/>
    <n v="-8.64"/>
    <n v="1491.76"/>
    <x v="22"/>
    <m/>
    <m/>
    <m/>
  </r>
  <r>
    <d v="2017-02-16T00:00:00"/>
    <s v="CHECKCARD 0215 MCDONALD'S F10384 TEMPE AZ 24427337046720063212203"/>
    <n v="-2.48"/>
    <n v="1500.4"/>
    <x v="2"/>
    <m/>
    <m/>
    <m/>
  </r>
  <r>
    <d v="2017-02-16T00:00:00"/>
    <s v="CHECKCARD 0214 US FOOD CAFE TEMPE AZ 24765017046207788701486"/>
    <n v="-1.07"/>
    <n v="1502.88"/>
    <x v="1"/>
    <m/>
    <m/>
    <m/>
  </r>
  <r>
    <d v="2017-02-16T00:00:00"/>
    <s v="CHECKCARD 0214 LOS TAQUITOS CHANDLER AZ 24692167046000752777926"/>
    <n v="-6"/>
    <n v="1503.95"/>
    <x v="1"/>
    <m/>
    <m/>
    <m/>
  </r>
  <r>
    <d v="2017-02-16T00:00:00"/>
    <s v="US FOODS, INC. DES:DIR DEP ID:190132 INDN:SOTELO,JOSE G CO ID:XXXXX42294 PPD"/>
    <n v="998.87"/>
    <n v="1509.95"/>
    <x v="4"/>
    <m/>
    <m/>
    <m/>
  </r>
  <r>
    <d v="2017-02-16T00:00:00"/>
    <s v="Sold 3 barstools to Mike"/>
    <n v="25"/>
    <n v="26"/>
    <x v="7"/>
    <m/>
    <m/>
    <m/>
  </r>
  <r>
    <d v="2017-02-17T00:00:00"/>
    <s v="PAYPAL DES:INST XFER ID:BEYAGI INDN:JOSE SOTELO CO ID:PAYPALSI77 WEB"/>
    <n v="-60"/>
    <n v="1409.19"/>
    <x v="7"/>
    <m/>
    <s v="Sent money to Andrew for refunded barstools"/>
    <m/>
  </r>
  <r>
    <d v="2017-02-17T00:00:00"/>
    <s v="CHECKCARD 0216 VERIZON WRL MY ACCT VW 800-9220204 CA 24498047047666192382706"/>
    <n v="-93.94"/>
    <n v="1469.19"/>
    <x v="23"/>
    <m/>
    <m/>
    <m/>
  </r>
  <r>
    <d v="2017-02-17T00:00:00"/>
    <s v="CHECKCARD 0216 MCDONALD'S F10384 TEMPE AZ 24427337047720067152479"/>
    <n v="-0.54"/>
    <n v="1563.13"/>
    <x v="2"/>
    <m/>
    <m/>
    <m/>
  </r>
  <r>
    <d v="2017-02-17T00:00:00"/>
    <s v="CHECKCARD 0215 BARROS PIZZA - CHANDLER CHANDLER AZ 24269797047100260206438"/>
    <n v="-11"/>
    <n v="1563.67"/>
    <x v="1"/>
    <m/>
    <m/>
    <m/>
  </r>
  <r>
    <d v="2017-02-17T00:00:00"/>
    <s v="PAYPAL DES:TRANSFER ID:4F922A2HD539A INDN:JOSE SOTELO CO ID:PAYPALSD11 PPD"/>
    <n v="20"/>
    <n v="1574.67"/>
    <x v="21"/>
    <m/>
    <m/>
    <m/>
  </r>
  <r>
    <d v="2017-02-17T00:00:00"/>
    <s v="PAYPAL DES:TRANSFER ID:4F922A2HD9LM2 INDN:JOSE SOTELO CO ID:PAYPALSD11 PPD"/>
    <n v="70"/>
    <n v="1554.67"/>
    <x v="7"/>
    <m/>
    <m/>
    <m/>
  </r>
  <r>
    <d v="2017-02-17T00:00:00"/>
    <s v="Annalyn"/>
    <n v="-5"/>
    <n v="21"/>
    <x v="24"/>
    <m/>
    <m/>
    <m/>
  </r>
  <r>
    <d v="2017-02-18T00:00:00"/>
    <s v="Tainted Love Party"/>
    <n v="-10"/>
    <n v="11"/>
    <x v="8"/>
    <m/>
    <m/>
    <m/>
  </r>
  <r>
    <d v="2017-02-21T00:00:00"/>
    <s v="PAYPAL DES:INST XFER ID:BEYAGI INDN:JOSE SOTELO CO ID:PAYPALSI77 WEB"/>
    <n v="-69"/>
    <n v="1235.1600000000001"/>
    <x v="7"/>
    <m/>
    <m/>
    <m/>
  </r>
  <r>
    <d v="2017-02-21T00:00:00"/>
    <s v="PAYPAL DES:INST XFER ID:BEYAGI INDN:JOSE SOTELO CO ID:PAYPALSI77 WEB"/>
    <n v="-77.5"/>
    <n v="1304.1600000000001"/>
    <x v="7"/>
    <m/>
    <m/>
    <m/>
  </r>
  <r>
    <d v="2017-02-21T00:00:00"/>
    <s v="CHECKCARD 0220 OSCAR'S MARKET TEMPE AZ 24765017052286000000167"/>
    <n v="-14.07"/>
    <n v="1381.66"/>
    <x v="12"/>
    <m/>
    <m/>
    <m/>
  </r>
  <r>
    <d v="2017-02-21T00:00:00"/>
    <s v="DEEVA ENTERPRI 02/20 #000029344 PURCHASE 7607 E MCDOWELL R SCOTTSDALE AZ"/>
    <n v="-14.02"/>
    <n v="1395.73"/>
    <x v="12"/>
    <m/>
    <m/>
    <m/>
  </r>
  <r>
    <d v="2017-02-21T00:00:00"/>
    <s v="CHECKCARD 0220 OSCAR'S MARKET TEMPE AZ 24765017052286000000134"/>
    <n v="-14.07"/>
    <n v="1409.75"/>
    <x v="12"/>
    <m/>
    <m/>
    <m/>
  </r>
  <r>
    <d v="2017-02-21T00:00:00"/>
    <s v="CHECKCARD 0220 OSCAR'S MARKET TEMPE AZ 24765017052286000000084"/>
    <n v="-14.07"/>
    <n v="1423.82"/>
    <x v="12"/>
    <m/>
    <m/>
    <m/>
  </r>
  <r>
    <d v="2017-02-21T00:00:00"/>
    <s v="CHECKCARD 0220 PANDA EXPRESS #2114 SCOTTSDALE AZ 24431067052838000005577"/>
    <n v="-7.77"/>
    <n v="1437.89"/>
    <x v="1"/>
    <m/>
    <m/>
    <m/>
  </r>
  <r>
    <d v="2017-02-21T00:00:00"/>
    <s v="HILIFE SMOKE S 02/20 #000841685 PURCHASE HILIFE SMOKE SHOP SCOTTSDALE AZ"/>
    <n v="-21.58"/>
    <n v="1445.66"/>
    <x v="12"/>
    <m/>
    <m/>
    <m/>
  </r>
  <r>
    <d v="2017-02-21T00:00:00"/>
    <s v="HILIFE SMOKE S 02/19 #000758612 PURCHASE HILIFE SMOKE SHOP SCOTTSDALE AZ"/>
    <n v="-21.58"/>
    <n v="1467.24"/>
    <x v="12"/>
    <m/>
    <m/>
    <m/>
  </r>
  <r>
    <d v="2017-02-21T00:00:00"/>
    <s v="BASHAS' #003 02/18 #000875414 PURCHASE 3320 N. 7TH AVE PHOENIX AZ"/>
    <n v="-17.37"/>
    <n v="1488.82"/>
    <x v="17"/>
    <m/>
    <m/>
    <m/>
  </r>
  <r>
    <d v="2017-02-21T00:00:00"/>
    <s v="STAR LIQUOR &amp; 02/18 #000852799 PURCHASE STAR LIQUOR &amp; CON TEMPE AZ"/>
    <n v="-7.9"/>
    <n v="1506.19"/>
    <x v="17"/>
    <m/>
    <m/>
    <m/>
  </r>
  <r>
    <d v="2017-02-21T00:00:00"/>
    <s v="STAR LIQUOR &amp; 02/18 #000371378 PURCHASE STAR LIQUOR &amp; CON TEMPE AZ"/>
    <n v="-11.9"/>
    <n v="1514.09"/>
    <x v="17"/>
    <m/>
    <m/>
    <m/>
  </r>
  <r>
    <d v="2017-02-21T00:00:00"/>
    <s v="CHECKCARD 0217 SMASHBURGER #1423 TEMPE AZ 24224437049104011284665"/>
    <n v="-5.07"/>
    <n v="1525.99"/>
    <x v="1"/>
    <m/>
    <m/>
    <m/>
  </r>
  <r>
    <d v="2017-02-21T00:00:00"/>
    <s v="CHECKCARD 0217 HAUTLK RACK8885478438 188-854-7843 CA 24445007049600198978460"/>
    <n v="-139.56"/>
    <n v="1531.06"/>
    <x v="14"/>
    <m/>
    <m/>
    <m/>
  </r>
  <r>
    <d v="2017-02-21T00:00:00"/>
    <s v="CHECKCARD 0217 MCDONALD'S F10384 TEMPE AZ 24427337048720071391153"/>
    <n v="-1.62"/>
    <n v="1670.62"/>
    <x v="2"/>
    <m/>
    <m/>
    <m/>
  </r>
  <r>
    <d v="2017-02-21T00:00:00"/>
    <s v="CHECKCARD 0217 QUICK N CLEAN - 19 SCOTTSDALE AZ 24269797049100341344511"/>
    <n v="-16.95"/>
    <n v="1672.24"/>
    <x v="25"/>
    <m/>
    <m/>
    <m/>
  </r>
  <r>
    <d v="2017-02-21T00:00:00"/>
    <s v="BKOFAMERICA ATM 02/18 #000004979 DEPOSIT SCOTTSDALE &amp; EAR SCOTTSDALE AZ"/>
    <n v="125"/>
    <n v="1689.19"/>
    <x v="7"/>
    <m/>
    <s v="x"/>
    <m/>
  </r>
  <r>
    <d v="2017-02-21T00:00:00"/>
    <s v="BKOFAMERICA ATM 02/18 #000009869 DEPOSIT SOUTHERN &amp; MCCLI TEMPE AZ"/>
    <n v="155"/>
    <n v="1564.19"/>
    <x v="7"/>
    <m/>
    <m/>
    <m/>
  </r>
  <r>
    <d v="2017-02-22T00:00:00"/>
    <s v="PAYPAL DES:TRANSFER ID:4F922A2NP82C6 INDN:JOSE SOTELO CO ID:PAYPALSD22 WEB"/>
    <n v="-20.82"/>
    <n v="1256.79"/>
    <x v="26"/>
    <m/>
    <m/>
    <m/>
  </r>
  <r>
    <d v="2017-02-22T00:00:00"/>
    <s v="CHECKCARD 0221 OSCAR'S MARKET TEMPE AZ 24765017053286000000158"/>
    <n v="-14.07"/>
    <n v="1277.6099999999999"/>
    <x v="12"/>
    <m/>
    <m/>
    <m/>
  </r>
  <r>
    <d v="2017-02-22T00:00:00"/>
    <s v="CHECKCARD 0221 MCDONALD'S F10384 TEMPE AZ 24427337052720063184296"/>
    <n v="-2.48"/>
    <n v="1291.68"/>
    <x v="7"/>
    <m/>
    <m/>
    <m/>
  </r>
  <r>
    <d v="2017-02-22T00:00:00"/>
    <s v="CHECKCARD 0220 VENDING BESTFIT SCOTTSDALE AZ 24013397052003032386373"/>
    <n v="-1"/>
    <n v="1294.1600000000001"/>
    <x v="1"/>
    <m/>
    <m/>
    <m/>
  </r>
  <r>
    <d v="2017-02-22T00:00:00"/>
    <s v="PAYPAL DES:TRANSFER ID:4F922A2NP8ULE INDN:JOSE SOTELO CO ID:PAYPALSD11 PPD"/>
    <n v="60"/>
    <n v="1295.1600000000001"/>
    <x v="7"/>
    <m/>
    <m/>
    <m/>
  </r>
  <r>
    <d v="2017-02-23T00:00:00"/>
    <s v="CHECKCARD 0222 VENDING BESTFIT SCOTTSDALE AZ 24013397053003279787001"/>
    <n v="-1"/>
    <n v="1247.9100000000001"/>
    <x v="1"/>
    <m/>
    <m/>
    <m/>
  </r>
  <r>
    <d v="2017-02-23T00:00:00"/>
    <s v="CHECKCARD 0222 MCDONALD'S F10384 TEMPE AZ 24427337053720065824658"/>
    <n v="-1.62"/>
    <n v="1248.9100000000001"/>
    <x v="2"/>
    <m/>
    <m/>
    <m/>
  </r>
  <r>
    <d v="2017-02-23T00:00:00"/>
    <s v="CHECKCARD 0221 MCDONALD'S F11340 CHANDLER AZ 24427337053710048781042"/>
    <n v="-3.11"/>
    <n v="1250.53"/>
    <x v="1"/>
    <m/>
    <m/>
    <m/>
  </r>
  <r>
    <d v="2017-02-23T00:00:00"/>
    <s v="CHECKCARD 0221 WENDY'S CHANDLER AZ 24445007053100231230931"/>
    <n v="-2.15"/>
    <n v="1253.6400000000001"/>
    <x v="1"/>
    <m/>
    <m/>
    <m/>
  </r>
  <r>
    <d v="2017-02-23T00:00:00"/>
    <s v="CHECKCARD 0221 VENDING BESTFIT SCOTTSDALE AZ 24013397053003181445029"/>
    <n v="-1"/>
    <n v="1255.79"/>
    <x v="1"/>
    <m/>
    <m/>
    <m/>
  </r>
  <r>
    <d v="2017-02-24T00:00:00"/>
    <s v="COSTCO WHSE #0 02/24 #000488727 PURCHASE COSTCO WHSE #0465 PHOENIX AZ"/>
    <n v="-153"/>
    <n v="1320"/>
    <x v="27"/>
    <m/>
    <s v="Canopy, Batteries, and water"/>
    <m/>
  </r>
  <r>
    <d v="2017-02-24T00:00:00"/>
    <s v="COSTCO GAS #04 02/24 #000066483 PURCHASE COSTCO GAS #0465 PHOENIX AZ"/>
    <n v="-14.11"/>
    <n v="1473"/>
    <x v="0"/>
    <m/>
    <m/>
    <m/>
  </r>
  <r>
    <d v="2017-02-24T00:00:00"/>
    <s v="SHELL Service 02/24 #000103966 PURCHASE SHELL Service Sta TEMPE AZ"/>
    <n v="-11.7"/>
    <n v="1487.11"/>
    <x v="0"/>
    <m/>
    <m/>
    <m/>
  </r>
  <r>
    <d v="2017-02-24T00:00:00"/>
    <s v="CHECKCARD 0223 MCDONALD'S F10384 TEMPE AZ 24427337054720069535952"/>
    <n v="-1.61"/>
    <n v="1498.81"/>
    <x v="2"/>
    <m/>
    <m/>
    <m/>
  </r>
  <r>
    <d v="2017-02-24T00:00:00"/>
    <s v="CHECKCARD 0223 PANDA EXPRESS #529 GUADALUPE AZ 24431067055838000038450"/>
    <n v="-2.11"/>
    <n v="1500.42"/>
    <x v="1"/>
    <m/>
    <m/>
    <m/>
  </r>
  <r>
    <d v="2017-02-24T00:00:00"/>
    <s v="CHECKCARD 0222 WENDY'S CHANDLER AZ 24445007054100254776462"/>
    <n v="-5.38"/>
    <n v="1502.53"/>
    <x v="1"/>
    <m/>
    <m/>
    <m/>
  </r>
  <r>
    <d v="2017-02-24T00:00:00"/>
    <s v="BKOFAMERICA ATM 02/24 #000002243 DEPOSIT 44TH STREET &amp; TH PHOENIX AZ"/>
    <n v="260"/>
    <n v="1507.91"/>
    <x v="7"/>
    <m/>
    <m/>
    <m/>
  </r>
  <r>
    <d v="2017-02-27T00:00:00"/>
    <s v="PAYPAL DES:INST XFER ID:BEYAGI INDN:JOSE SOTELO CO ID:PAYPALSI77 WEB"/>
    <n v="-50"/>
    <n v="1689.57"/>
    <x v="7"/>
    <m/>
    <m/>
    <m/>
  </r>
  <r>
    <d v="2017-02-27T00:00:00"/>
    <s v="PAYPAL DES:INST XFER ID:BEYAGI INDN:JOSE SOTELO CO ID:PAYPALSI77 WEB"/>
    <n v="-80"/>
    <n v="1739.57"/>
    <x v="7"/>
    <m/>
    <m/>
    <m/>
  </r>
  <r>
    <d v="2017-02-27T00:00:00"/>
    <s v="PAYPAL DES:INST XFER ID:BEYAGI INDN:JOSE SOTELO CO ID:PAYPALSI77 WEB"/>
    <n v="-100"/>
    <n v="1819.57"/>
    <x v="7"/>
    <m/>
    <m/>
    <m/>
  </r>
  <r>
    <d v="2017-02-27T00:00:00"/>
    <s v="PAYPAL DES:INST XFER ID:BEYAGI INDN:JOSE SOTELO CO ID:PAYPALSI77 WEB"/>
    <n v="-100"/>
    <n v="1919.57"/>
    <x v="7"/>
    <m/>
    <m/>
    <m/>
  </r>
  <r>
    <d v="2017-02-27T00:00:00"/>
    <s v="SPROUTS FARMER 02/27 #000841230 PURCHASE 1959 WEST RAY ROA CHANDLER AZ"/>
    <n v="-5.48"/>
    <n v="2019.57"/>
    <x v="28"/>
    <m/>
    <s v="Soap"/>
    <m/>
  </r>
  <r>
    <d v="2017-02-27T00:00:00"/>
    <s v="SPROUTS FARMER 02/27 #000841230 PURCHASE 1959 WEST RAY ROA CHANDLER AZ"/>
    <n v="-5"/>
    <n v="2025.05"/>
    <x v="1"/>
    <m/>
    <m/>
    <m/>
  </r>
  <r>
    <d v="2017-02-27T00:00:00"/>
    <s v="STAR LIQUOR &amp; 02/26 #000426018 PURCHASE STAR LIQUOR &amp; CON TEMPE AZ"/>
    <n v="-9.7200000000000006"/>
    <n v="2030.05"/>
    <x v="17"/>
    <m/>
    <m/>
    <m/>
  </r>
  <r>
    <d v="2017-02-27T00:00:00"/>
    <s v="CHECKCARD 0226 FATE BREWING COMPANY SCOTTSDALE AZ 24013397057003830369428"/>
    <n v="-35"/>
    <n v="2039.77"/>
    <x v="8"/>
    <m/>
    <m/>
    <m/>
  </r>
  <r>
    <d v="2017-02-27T00:00:00"/>
    <s v="SAFEWAY STORE 02/25 #000242119 PURCHASE SAFEWAY STORE 1 SCOTTSDALE AZ"/>
    <n v="-6.58"/>
    <n v="2074.77"/>
    <x v="2"/>
    <m/>
    <m/>
    <m/>
  </r>
  <r>
    <d v="2017-02-27T00:00:00"/>
    <s v="CHECKCARD 0224 THE VIG SCOTTSDALE SCOTTSDALE AZ 24765187057080080571817"/>
    <n v="-23.7"/>
    <n v="2081.35"/>
    <x v="8"/>
    <m/>
    <m/>
    <m/>
  </r>
  <r>
    <d v="2017-02-27T00:00:00"/>
    <s v="CHECKCARD 0224 ALOHA KITCHEN MESA AZ 24431067056206785102975"/>
    <n v="-7"/>
    <n v="2105.0500000000002"/>
    <x v="1"/>
    <m/>
    <m/>
    <m/>
  </r>
  <r>
    <d v="2017-02-27T00:00:00"/>
    <s v="CHECKCARD 0223 HABIT- S. TEMPE #40 TEMPE AZ 24055237055206888100020"/>
    <n v="-3.51"/>
    <n v="2112.0500000000002"/>
    <x v="1"/>
    <m/>
    <m/>
    <m/>
  </r>
  <r>
    <d v="2017-02-27T00:00:00"/>
    <s v="PAYPAL DES:TRANSFER ID:4F922A2TL5LD6 INDN:JOSE SOTELO CO ID:PAYPALSD11 PPD"/>
    <n v="16"/>
    <n v="2115.56"/>
    <x v="8"/>
    <m/>
    <m/>
    <m/>
  </r>
  <r>
    <d v="2017-02-27T00:00:00"/>
    <s v="PAYPAL DES:TRANSFER ID:4F922A2SK98ZA INDN:JOSE SOTELO CO ID:PAYPALSD11 PPD"/>
    <n v="30"/>
    <n v="2099.56"/>
    <x v="7"/>
    <m/>
    <m/>
    <m/>
  </r>
  <r>
    <d v="2017-02-27T00:00:00"/>
    <s v="CHECKCARD 0225 HAUTLK RACK8885478438 LOS ANGELES CA 74445007057600177604677"/>
    <n v="139.56"/>
    <n v="2069.56"/>
    <x v="14"/>
    <m/>
    <m/>
    <m/>
  </r>
  <r>
    <d v="2017-02-27T00:00:00"/>
    <s v="PAYPAL DES:TRANSFER ID:4F922A2TL5HZ8 INDN:JOSE SOTELO CO ID:PAYPALSD11 PPD"/>
    <n v="150"/>
    <n v="1930"/>
    <x v="7"/>
    <m/>
    <m/>
    <m/>
  </r>
  <r>
    <d v="2017-02-27T00:00:00"/>
    <s v="BKOFAMERICA ATM 02/25 #000008646 DEPOSIT SCOTTSDALE &amp; EAR SCOTTSDALE AZ"/>
    <n v="460"/>
    <n v="1780"/>
    <x v="7"/>
    <m/>
    <m/>
    <m/>
  </r>
  <r>
    <d v="2017-02-28T00:00:00"/>
    <s v="PROG ADVANCED DES:INS PREM ID:76029168 JOSE INDN:JOSE G SOTELO CO ID:XXXXX48096 PPD"/>
    <n v="-107.17"/>
    <n v="602.73"/>
    <x v="29"/>
    <m/>
    <m/>
    <m/>
  </r>
  <r>
    <d v="2017-02-28T00:00:00"/>
    <s v="Check 434"/>
    <n v="-663"/>
    <n v="709.9"/>
    <x v="30"/>
    <m/>
    <m/>
    <m/>
  </r>
  <r>
    <d v="2017-02-28T00:00:00"/>
    <s v="STAR LIQUOR &amp; 02/28 #000463802 PURCHASE STAR LIQUOR &amp; CON TEMPE AZ"/>
    <n v="-8.9700000000000006"/>
    <n v="1372.9"/>
    <x v="17"/>
    <m/>
    <m/>
    <m/>
  </r>
  <r>
    <d v="2017-02-28T00:00:00"/>
    <s v="SPROUTS FARMER 02/28 #000873283 PURCHASE 1959 WEST RAY ROA CHANDLER AZ"/>
    <n v="-5.26"/>
    <n v="1381.87"/>
    <x v="1"/>
    <m/>
    <m/>
    <m/>
  </r>
  <r>
    <d v="2017-02-28T00:00:00"/>
    <s v="CHECKCARD 0227 MCDONALD'S F10384 TEMPE AZ 24427337058720063163203"/>
    <n v="-2.48"/>
    <n v="1387.13"/>
    <x v="2"/>
    <m/>
    <m/>
    <m/>
  </r>
  <r>
    <d v="2017-02-28T00:00:00"/>
    <s v="CHECKCARD 0227 AMAZON MKTPLACE PMTS AMAZON MKTPLAWA 24692167058000774264270"/>
    <n v="-299.95999999999998"/>
    <n v="1389.61"/>
    <x v="7"/>
    <m/>
    <m/>
    <m/>
  </r>
  <r>
    <d v="2017-03-01T00:00:00"/>
    <s v="LOWE'S #1032 03/01 #000150539 PURCHASE LOWE'S #1032 CHANDLER AZ"/>
    <n v="-10.76"/>
    <n v="549.94000000000005"/>
    <x v="31"/>
    <m/>
    <m/>
    <m/>
  </r>
  <r>
    <d v="2017-03-01T00:00:00"/>
    <s v="TJ MAXX #049 03/01 #000012904 PURCHASE 2660 W CHANDLER B CHANDLER AZ"/>
    <n v="-37.72"/>
    <n v="560.70000000000005"/>
    <x v="32"/>
    <m/>
    <m/>
    <m/>
  </r>
  <r>
    <d v="2017-03-01T00:00:00"/>
    <s v="CHECKCARD 0228 MCDONALD'S F10384 TEMPE AZ 24427337059720066834825"/>
    <n v="-1.62"/>
    <n v="598.41999999999996"/>
    <x v="2"/>
    <m/>
    <m/>
    <m/>
  </r>
  <r>
    <d v="2017-03-01T00:00:00"/>
    <s v="CHECKCARD 0227 DUNKIN #348936 Q35 TEMPE AZ 24610437059072017267589"/>
    <n v="-2.69"/>
    <n v="600.04"/>
    <x v="1"/>
    <m/>
    <m/>
    <m/>
  </r>
  <r>
    <d v="2017-03-02T00:00:00"/>
    <s v="STAR LIQUOR &amp; 03/02 #000020785 PURCHASE STAR LIQUOR &amp; CON TEMPE AZ"/>
    <n v="-7.9"/>
    <n v="1516.43"/>
    <x v="17"/>
    <m/>
    <m/>
    <m/>
  </r>
  <r>
    <d v="2017-03-02T00:00:00"/>
    <s v="LOWE'S #1850 03/02 #000507169 PURCHASE LOWE'S #1850 SCOTTSDALE AZ"/>
    <n v="-5.27"/>
    <n v="1524.33"/>
    <x v="31"/>
    <m/>
    <m/>
    <m/>
  </r>
  <r>
    <d v="2017-03-02T00:00:00"/>
    <s v="CHECKCARD 0301 MCDONALD'S F25154 CHANDLER AZ 24427337060720069336460"/>
    <n v="-1.61"/>
    <n v="1529.6"/>
    <x v="1"/>
    <m/>
    <m/>
    <m/>
  </r>
  <r>
    <d v="2017-03-02T00:00:00"/>
    <s v="CHECKCARD 0301 ESPOS MEXICAN FOOD - A CHANDLER AZ 24269797061000882488516"/>
    <n v="-6.16"/>
    <n v="1531.21"/>
    <x v="1"/>
    <m/>
    <m/>
    <m/>
  </r>
  <r>
    <d v="2017-03-02T00:00:00"/>
    <s v="CHECKCARD 0301 MCDONALD'S F10384 TEMPE AZ 24427337060720069298348"/>
    <n v="-2.48"/>
    <n v="1537.37"/>
    <x v="2"/>
    <m/>
    <m/>
    <m/>
  </r>
  <r>
    <d v="2017-03-02T00:00:00"/>
    <s v="CHECKCARD 0301 VISIT PATREON.COM/INFO 877-887-7815 CA 24492157060637004556212 RECURRING"/>
    <n v="-10"/>
    <n v="1539.85"/>
    <x v="3"/>
    <m/>
    <m/>
    <m/>
  </r>
  <r>
    <d v="2017-03-02T00:00:00"/>
    <s v="CHECKCARD 0228 DUNKIN #348936 Q35 TEMPE AZ 24610437060072013719432"/>
    <n v="-2.69"/>
    <n v="1549.85"/>
    <x v="1"/>
    <m/>
    <m/>
    <m/>
  </r>
  <r>
    <d v="2017-03-02T00:00:00"/>
    <s v="CHECKCARD 0228 US FOOD CAFE TEMPE AZ 24765017060207788700646"/>
    <n v="-1.07"/>
    <n v="1552.54"/>
    <x v="1"/>
    <m/>
    <m/>
    <m/>
  </r>
  <r>
    <d v="2017-03-02T00:00:00"/>
    <s v="US FOODS, INC. DES:DIR DEP ID:190132 INDN:SOTELO,JOSE G CO ID:XXXXX42294 PPD"/>
    <n v="1003.67"/>
    <n v="1553.61"/>
    <x v="4"/>
    <m/>
    <m/>
    <m/>
  </r>
  <r>
    <d v="2017-03-02T00:00:00"/>
    <s v="Returned Alejandro's shirt"/>
    <n v="37"/>
    <n v="58"/>
    <x v="32"/>
    <m/>
    <m/>
    <m/>
  </r>
  <r>
    <d v="2017-03-02T00:00:00"/>
    <s v="Returned Gloves to Lowes"/>
    <n v="10"/>
    <n v="21"/>
    <x v="31"/>
    <m/>
    <m/>
    <m/>
  </r>
  <r>
    <d v="2017-03-03T00:00:00"/>
    <s v="SOUTHWEST GAS DES:WEB ID:XXXXX78939024 INDN:SOTELO JOSE CO ID:XXXXX85720 WEB"/>
    <n v="-60.65"/>
    <n v="1361.05"/>
    <x v="5"/>
    <s v="ACH"/>
    <m/>
    <m/>
  </r>
  <r>
    <d v="2017-03-03T00:00:00"/>
    <s v="PAYPAL DES:INST XFER ID:BEYAGI INDN:JOSE SOTELO CO ID:PAYPALSI77 WEB"/>
    <n v="-70"/>
    <n v="1421.7"/>
    <x v="7"/>
    <m/>
    <m/>
    <m/>
  </r>
  <r>
    <d v="2017-03-03T00:00:00"/>
    <s v="STAR LIQUOR &amp; 03/03 #000419944 PURCHASE STAR LIQUOR &amp; CON TEMPE AZ"/>
    <n v="-16.32"/>
    <n v="1491.7"/>
    <x v="17"/>
    <m/>
    <m/>
    <m/>
  </r>
  <r>
    <d v="2017-03-03T00:00:00"/>
    <s v="CHECKCARD 0302 ALOHA KITCHEN MESA AZ 24431067062206785600152"/>
    <n v="-6.27"/>
    <n v="1508.02"/>
    <x v="1"/>
    <m/>
    <m/>
    <m/>
  </r>
  <r>
    <d v="2017-03-03T00:00:00"/>
    <s v="CHECKCARD 0302 MCDONALD'S F10384 TEMPE AZ 24427337061720068431832"/>
    <n v="-1.07"/>
    <n v="1514.29"/>
    <x v="1"/>
    <m/>
    <m/>
    <m/>
  </r>
  <r>
    <d v="2017-03-03T00:00:00"/>
    <s v="CHECKCARD 0301 US FOOD CAFE TEMPE AZ 24765017061207788701635"/>
    <n v="-1.07"/>
    <n v="1515.36"/>
    <x v="1"/>
    <m/>
    <m/>
    <m/>
  </r>
  <r>
    <d v="2017-03-03T00:00:00"/>
    <s v="Potluck at work"/>
    <n v="-5"/>
    <n v="53"/>
    <x v="9"/>
    <m/>
    <m/>
    <m/>
  </r>
  <r>
    <d v="2017-03-04T00:00:00"/>
    <s v="McDowell Music Festival"/>
    <n v="-13"/>
    <n v="40"/>
    <x v="8"/>
    <m/>
    <m/>
    <m/>
  </r>
  <r>
    <d v="2017-03-06T00:00:00"/>
    <s v="PAYPAL DES:INST XFER ID:LYFT INDN:JOSE SOTELO CO ID:PAYPALSI77 WEB"/>
    <n v="-5.15"/>
    <n v="942.39"/>
    <x v="26"/>
    <s v="ACH"/>
    <m/>
    <m/>
  </r>
  <r>
    <d v="2017-03-06T00:00:00"/>
    <s v="SRP DES:ECHEX PWR ID:XXXXX5001 INDN:Jose Sotelo CO ID:XXXXX00727 WEB"/>
    <n v="-52.58"/>
    <n v="947.54"/>
    <x v="11"/>
    <s v="ACH"/>
    <m/>
    <m/>
  </r>
  <r>
    <d v="2017-03-06T00:00:00"/>
    <s v="COX COMM PHX DES:BANK DRAFT ID:XXXXX6769503001 INDN:Jose Sotelo CO ID:XXXXX98371 WEB"/>
    <n v="-57.99"/>
    <n v="1000.12"/>
    <x v="10"/>
    <s v="ACH"/>
    <m/>
    <m/>
  </r>
  <r>
    <d v="2017-03-06T00:00:00"/>
    <s v="CHECKCARD 0305 AMAZON.COM AMZN.COM/BIL AMZN.COM/BILLWA 24431067065083357720636"/>
    <n v="-88.34"/>
    <n v="1058.1099999999999"/>
    <x v="13"/>
    <m/>
    <m/>
    <m/>
  </r>
  <r>
    <d v="2017-03-06T00:00:00"/>
    <s v="CHECKCARD 0305 AMAZON.COM AMZN.COM/BIL AMZN.COM/BILLWA 24431067065083357720636"/>
    <n v="-103.48"/>
    <n v="1146.45"/>
    <x v="14"/>
    <m/>
    <m/>
    <m/>
  </r>
  <r>
    <d v="2017-03-06T00:00:00"/>
    <s v="CHECKCARD 0305 THE LOST LEAF PHOENIX AZ 24013397064000647800547"/>
    <n v="-16"/>
    <n v="1249.93"/>
    <x v="8"/>
    <m/>
    <m/>
    <m/>
  </r>
  <r>
    <d v="2017-03-06T00:00:00"/>
    <s v="CHECKCARD 0305 FGT*MCDOWELL 512-389-0315 TX 24692167064000501573300"/>
    <n v="-70"/>
    <n v="1265.93"/>
    <x v="8"/>
    <m/>
    <m/>
    <m/>
  </r>
  <r>
    <d v="2017-03-06T00:00:00"/>
    <s v="CHECKCARD 0304 STATEFARM SBUX11326121 TEMPE AZ 24164077064937320203264"/>
    <n v="-4.05"/>
    <n v="1335.93"/>
    <x v="2"/>
    <m/>
    <m/>
    <m/>
  </r>
  <r>
    <d v="2017-03-06T00:00:00"/>
    <s v="CHECKCARD 0304 FATE BREWING COMPANY SCOTTSDALE AZ 24013397063000530496883"/>
    <n v="-20"/>
    <n v="1339.98"/>
    <x v="8"/>
    <m/>
    <m/>
    <m/>
  </r>
  <r>
    <d v="2017-03-06T00:00:00"/>
    <s v="CHECKCARD 0302 US FOOD CAFE TEMPE AZ 24765017062207788700701"/>
    <n v="-1.07"/>
    <n v="1359.98"/>
    <x v="1"/>
    <m/>
    <m/>
    <m/>
  </r>
  <r>
    <d v="2017-03-07T00:00:00"/>
    <s v="TEMPE 03/07 #000044300 PURCHASE 1545 N SCOTTSDALE TEMPE AZ"/>
    <n v="-23.13"/>
    <n v="1097.07"/>
    <x v="0"/>
    <m/>
    <m/>
    <m/>
  </r>
  <r>
    <d v="2017-03-07T00:00:00"/>
    <s v="CHECKCARD 0305 LITTLE CHICAGO PIZZA SCOTTSDALE AZ 24801637065286017316818"/>
    <n v="-15.11"/>
    <n v="1120.2"/>
    <x v="18"/>
    <m/>
    <m/>
    <m/>
  </r>
  <r>
    <d v="2017-03-07T00:00:00"/>
    <s v="CHECKCARD 0305 TACOS CHIWAS PHOENIX AZ 24327437065471603860896"/>
    <n v="-8.69"/>
    <n v="1135.31"/>
    <x v="1"/>
    <m/>
    <m/>
    <m/>
  </r>
  <r>
    <d v="2017-03-07T00:00:00"/>
    <s v="CHECKCARD 0304 LOCO PATRON TEMPE AZ 24695887065900018566862"/>
    <n v="-13.39"/>
    <n v="1144"/>
    <x v="8"/>
    <m/>
    <m/>
    <m/>
  </r>
  <r>
    <d v="2017-03-07T00:00:00"/>
    <s v="PAYPAL DES:TRANSFER ID:4F922A35PAW42 INDN:JOSE SOTELO CO ID:PAYPALSD11 PPD"/>
    <n v="45"/>
    <n v="1157.3900000000001"/>
    <x v="7"/>
    <m/>
    <m/>
    <m/>
  </r>
  <r>
    <d v="2017-03-07T00:00:00"/>
    <s v="BKOFAMERICA ATM 03/07 #000006041 DEPOSIT PARADISE VALLEY PHOENIX AZ"/>
    <n v="170"/>
    <n v="1112.3900000000001"/>
    <x v="7"/>
    <m/>
    <m/>
    <m/>
  </r>
  <r>
    <d v="2017-03-08T00:00:00"/>
    <s v="FOOD CITY #041 03/08 #000352675 PURCHASE 1845 N SCOTTSDALE TEMPE AZ"/>
    <n v="-0.34"/>
    <n v="1088.79"/>
    <x v="19"/>
    <m/>
    <m/>
    <m/>
  </r>
  <r>
    <d v="2017-03-08T00:00:00"/>
    <s v="FOOD CITY #041 03/08 #000329887 PURCHASE 1845 N SCOTTSDALE TEMPE AZ"/>
    <n v="-3.83"/>
    <n v="1089.1300000000001"/>
    <x v="19"/>
    <m/>
    <m/>
    <m/>
  </r>
  <r>
    <d v="2017-03-08T00:00:00"/>
    <s v="CHECKCARD 0306 HABIT- S. TEMPE #40 TEMPE AZ 24055237066206888100043"/>
    <n v="-1.95"/>
    <n v="1092.96"/>
    <x v="1"/>
    <m/>
    <m/>
    <m/>
  </r>
  <r>
    <d v="2017-03-08T00:00:00"/>
    <s v="CHECKCARD 0306 DUNKIN #348936 Q35 TEMPE AZ 24610437066072019263595"/>
    <n v="-2.16"/>
    <n v="1094.9100000000001"/>
    <x v="2"/>
    <m/>
    <m/>
    <m/>
  </r>
  <r>
    <d v="2017-03-09T00:00:00"/>
    <s v="PAYPAL DES:INST XFER ID:BEYAGI INDN:JOSE SOTELO CO ID:PAYPALSI77 WEB"/>
    <n v="-75"/>
    <n v="838.85"/>
    <x v="7"/>
    <m/>
    <m/>
    <m/>
  </r>
  <r>
    <d v="2017-03-09T00:00:00"/>
    <s v="STAR LIQUOR &amp; 03/08 #000600529 PURCHASE STAR LIQUOR &amp; CON TEMPE AZ"/>
    <n v="-7.9"/>
    <n v="913.85"/>
    <x v="17"/>
    <m/>
    <m/>
    <m/>
  </r>
  <r>
    <d v="2017-03-09T00:00:00"/>
    <s v="CHECKCARD 0309 AmazonPrime Membership amzn.com/prmeWA 24692167068000730236410 RECURRING"/>
    <n v="-11.88"/>
    <n v="921.75"/>
    <x v="16"/>
    <m/>
    <m/>
    <m/>
  </r>
  <r>
    <d v="2017-03-09T00:00:00"/>
    <s v="CHECKCARD 0308 HAUTLK RACK8885478438 188-854-7843 CA 24445007068600175585722"/>
    <n v="-365.16"/>
    <n v="933.63"/>
    <x v="33"/>
    <m/>
    <m/>
    <m/>
  </r>
  <r>
    <d v="2017-03-09T00:00:00"/>
    <s v="CHECKCARD 0308 MCDONALD'S F10384 TEMPE AZ 24427337067720067373674"/>
    <n v="-2.48"/>
    <n v="1298.79"/>
    <x v="2"/>
    <m/>
    <m/>
    <m/>
  </r>
  <r>
    <d v="2017-03-09T00:00:00"/>
    <s v="CHECKCARD 0307 US FOOD CAFE TEMPE AZ 24765017067207788701571"/>
    <n v="-1.07"/>
    <n v="1301.27"/>
    <x v="1"/>
    <m/>
    <m/>
    <m/>
  </r>
  <r>
    <d v="2017-03-09T00:00:00"/>
    <s v="CHECKCARD 0307 BARROS PIZZA - CHANDLER CHANDLER AZ 24269797067100328290031"/>
    <n v="-4.8600000000000003"/>
    <n v="1302.3399999999999"/>
    <x v="1"/>
    <m/>
    <m/>
    <m/>
  </r>
  <r>
    <d v="2017-03-09T00:00:00"/>
    <s v="CHECKCARD 0307 DUNKIN #347629 Q3 TEMPE AZ 24610437067072002805062"/>
    <n v="-4.09"/>
    <n v="1307.2"/>
    <x v="2"/>
    <m/>
    <m/>
    <m/>
  </r>
  <r>
    <d v="2017-03-09T00:00:00"/>
    <s v="PAYPAL DES:TRANSFER ID:4F922A38435Q8 INDN:JOSE SOTELO CO ID:PAYPALSD11 PPD"/>
    <n v="186.75"/>
    <n v="1311.29"/>
    <x v="33"/>
    <m/>
    <m/>
    <m/>
  </r>
  <r>
    <d v="2017-03-09T00:00:00"/>
    <s v="PAYPAL DES:TRANSFER ID:4F922A38435Q8 INDN:JOSE SOTELO CO ID:PAYPALSD11 PPD"/>
    <n v="35.75"/>
    <n v="1124.54"/>
    <x v="7"/>
    <m/>
    <m/>
    <m/>
  </r>
  <r>
    <d v="2017-03-10T00:00:00"/>
    <s v="CHECKCARD 0309 MCDONALD'S F10384 TEMPE AZ 24427337068720069726613"/>
    <n v="-1.62"/>
    <n v="1124.06"/>
    <x v="2"/>
    <m/>
    <m/>
    <m/>
  </r>
  <r>
    <d v="2017-03-10T00:00:00"/>
    <s v="CHECKCARD 0308 WENDY'S CHANDLER AZ 24445007068100263565264"/>
    <n v="-3.99"/>
    <n v="1125.68"/>
    <x v="1"/>
    <m/>
    <m/>
    <m/>
  </r>
  <r>
    <d v="2017-03-10T00:00:00"/>
    <s v="CHECKCARD 0308 VENDING BESTFIT SCOTTSDALE AZ 24013397068001230022487"/>
    <n v="-1"/>
    <n v="1129.67"/>
    <x v="1"/>
    <m/>
    <m/>
    <m/>
  </r>
  <r>
    <d v="2017-03-10T00:00:00"/>
    <s v="FID BKG SVC LLC DES:MONEYLINE ID:X86910428126M8S INDN:JOSE G SOTELO CO ID:XXXXX04603 PPD"/>
    <n v="100"/>
    <n v="1130.67"/>
    <x v="20"/>
    <m/>
    <s v="Withdrew from Fidelity"/>
    <m/>
  </r>
  <r>
    <d v="2017-03-10T00:00:00"/>
    <s v="CHECKCARD 0309 AMAZON.COM AMZN.COM/BIL AMZN.COM/BILLWA 74431067068083006890808"/>
    <n v="88.34"/>
    <n v="1030.67"/>
    <x v="13"/>
    <m/>
    <s v="Returned Magnanni's"/>
    <m/>
  </r>
  <r>
    <d v="2017-03-10T00:00:00"/>
    <s v="CHECKCARD 0309 AMAZON.COM AMZN.COM/BIL AMZN.COM/BILLWA 74431067068083006890808"/>
    <n v="103.48"/>
    <n v="942.33"/>
    <x v="14"/>
    <m/>
    <s v="Returned Magnanni's"/>
    <m/>
  </r>
  <r>
    <d v="2017-03-11T00:00:00"/>
    <s v="For Annalyn"/>
    <n v="-20"/>
    <n v="20"/>
    <x v="24"/>
    <m/>
    <m/>
    <m/>
  </r>
  <r>
    <d v="2017-03-13T00:00:00"/>
    <s v="PAYPAL DES:INST XFER ID:LYFT INDN:JOSE SOTELO CO ID:PAYPALSI77 WEB"/>
    <n v="-8.3000000000000007"/>
    <n v="1132.3699999999999"/>
    <x v="26"/>
    <s v="ACH"/>
    <m/>
    <m/>
  </r>
  <r>
    <d v="2017-03-13T00:00:00"/>
    <s v="IT'S ALL GOODZ 03/12 #000517500 PURCHASE 933 E UNIVERSITY TEMPE AZ"/>
    <n v="-20.420000000000002"/>
    <n v="1140.67"/>
    <x v="12"/>
    <m/>
    <m/>
    <m/>
  </r>
  <r>
    <d v="2017-03-13T00:00:00"/>
    <s v="CHECKCARD 0312 DEFALCOS ITALIAN GROCE SCOTTSDALE AZ 24765017072206388000148"/>
    <n v="-8.84"/>
    <n v="1161.0899999999999"/>
    <x v="2"/>
    <m/>
    <m/>
    <m/>
  </r>
  <r>
    <d v="2017-03-13T00:00:00"/>
    <s v="CHECKCARD 0312 J'S MARKET LLC PHOENIX AZ 24493987071286597600759"/>
    <n v="-1.69"/>
    <n v="1169.93"/>
    <x v="19"/>
    <m/>
    <m/>
    <m/>
  </r>
  <r>
    <d v="2017-03-13T00:00:00"/>
    <s v="STAR LIQUOR &amp; 03/11 #000082532 PURCHASE STAR LIQUOR &amp; CON TEMPE AZ"/>
    <n v="-7.9"/>
    <n v="1171.6199999999999"/>
    <x v="17"/>
    <m/>
    <m/>
    <m/>
  </r>
  <r>
    <d v="2017-03-13T00:00:00"/>
    <s v="CHECKCARD 0311 SCRAMBLE BREAKFAST JOIN SCOTTSDALE AZ 24055237070200088300291"/>
    <n v="-21.7"/>
    <n v="1179.52"/>
    <x v="2"/>
    <m/>
    <m/>
    <m/>
  </r>
  <r>
    <d v="2017-03-13T00:00:00"/>
    <s v="CHECKCARD 0311 CARLSBAD TAVERN &amp; RESTA SCOTTSDALE AZ 24013397070001619599838"/>
    <n v="-17"/>
    <n v="1201.22"/>
    <x v="8"/>
    <m/>
    <m/>
    <m/>
  </r>
  <r>
    <d v="2017-03-13T00:00:00"/>
    <s v="CHECKCARD 0310 CARLSBAD TAVERN &amp; RESTA SCOTTSDALE AZ 24013397070001619600057"/>
    <n v="-26.5"/>
    <n v="1218.22"/>
    <x v="8"/>
    <m/>
    <m/>
    <m/>
  </r>
  <r>
    <d v="2017-03-13T00:00:00"/>
    <s v="CHECKCARD 0310 MCDONALD'S F11340 CHANDLER AZ 24427337070710064108145"/>
    <n v="-1.61"/>
    <n v="1244.72"/>
    <x v="1"/>
    <m/>
    <m/>
    <m/>
  </r>
  <r>
    <d v="2017-03-13T00:00:00"/>
    <s v="CHECKCARD 0310 WENDY'S CHANDLER AZ 24445007070100305956972"/>
    <n v="-3.22"/>
    <n v="1246.33"/>
    <x v="1"/>
    <m/>
    <m/>
    <m/>
  </r>
  <r>
    <d v="2017-03-13T00:00:00"/>
    <s v="CHECKCARD 0309 THE VIG SCOTTSDALE SCOTTSDALE AZ 24765187069080080691389"/>
    <n v="-20"/>
    <n v="1249.55"/>
    <x v="18"/>
    <m/>
    <m/>
    <m/>
  </r>
  <r>
    <d v="2017-03-13T00:00:00"/>
    <s v="CHECKCARD 0309 MCDONALD'S F11340 CHANDLER AZ 24427337069710056244760"/>
    <n v="-1.61"/>
    <n v="1269.55"/>
    <x v="1"/>
    <m/>
    <m/>
    <m/>
  </r>
  <r>
    <d v="2017-03-13T00:00:00"/>
    <s v="CHECKCARD 0309 WENDY'S CHANDLER AZ 24445007069100247809332"/>
    <n v="-1.83"/>
    <n v="1271.1600000000001"/>
    <x v="1"/>
    <m/>
    <m/>
    <m/>
  </r>
  <r>
    <d v="2017-03-13T00:00:00"/>
    <s v="CHECKCARD 0309 US FOOD CAFE TEMPE AZ 24765017069207788700597"/>
    <n v="-1.07"/>
    <n v="1272.99"/>
    <x v="1"/>
    <m/>
    <m/>
    <m/>
  </r>
  <r>
    <d v="2017-03-13T00:00:00"/>
    <s v="PAYPAL DES:TRANSFER ID:4F922A39VBLEE INDN:JOSE SOTELO CO ID:PAYPALSD11 PPD"/>
    <n v="60"/>
    <n v="1274.06"/>
    <x v="7"/>
    <m/>
    <m/>
    <m/>
  </r>
  <r>
    <d v="2017-03-13T00:00:00"/>
    <s v="PAYPAL DES:TRANSFER ID:4F922A3C5PQ6C INDN:JOSE SOTELO CO ID:PAYPALSD11 PPD"/>
    <n v="90"/>
    <n v="1214.06"/>
    <x v="7"/>
    <m/>
    <m/>
    <m/>
  </r>
  <r>
    <d v="2017-03-14T00:00:00"/>
    <s v="PAYPAL DES:INST XFER ID:LYFT INDN:JOSE SOTELO CO ID:PAYPALSI77 WEB"/>
    <n v="-13.83"/>
    <n v="1159.81"/>
    <x v="26"/>
    <s v="ACH"/>
    <m/>
    <m/>
  </r>
  <r>
    <d v="2017-03-14T00:00:00"/>
    <s v="CHECKCARD 0312 MCDONALD'S F12536 SCOTTSDALE AZ 24427337072710035367836"/>
    <n v="-8.73"/>
    <n v="1173.6400000000001"/>
    <x v="8"/>
    <m/>
    <m/>
    <m/>
  </r>
  <r>
    <d v="2017-03-14T00:00:00"/>
    <s v="PAYPAL DES:TRANSFER ID:4F922A3DENM9A INDN:JOSE SOTELO CO ID:PAYPALSD11 PPD"/>
    <n v="50"/>
    <n v="1182.3699999999999"/>
    <x v="7"/>
    <m/>
    <m/>
    <m/>
  </r>
  <r>
    <d v="2017-03-15T00:00:00"/>
    <s v="PAYPAL DES:INST XFER ID:BEYAGI INDN:JOSE SOTELO CO ID:PAYPALSI77 WEB"/>
    <n v="-130"/>
    <n v="1017.99"/>
    <x v="7"/>
    <s v="ACH"/>
    <m/>
    <m/>
  </r>
  <r>
    <d v="2017-03-15T00:00:00"/>
    <s v="SPROUTS FARMER 03/15 #000694028 PURCHASE 1959 WEST RAY ROA CHANDLER AZ"/>
    <n v="-5.31"/>
    <n v="1147.99"/>
    <x v="1"/>
    <m/>
    <m/>
    <m/>
  </r>
  <r>
    <d v="2017-03-15T00:00:00"/>
    <s v="CHECKCARD 0314 MCDONALD'S F10384 TEMPE AZ 24427337073720056103696"/>
    <n v="-1.62"/>
    <n v="1153.3"/>
    <x v="2"/>
    <m/>
    <m/>
    <m/>
  </r>
  <r>
    <d v="2017-03-15T00:00:00"/>
    <s v="CHECKCARD 0313 IN-N-OUT BURGER#195 TEMPE AZ 24445007073500487751132"/>
    <n v="-3.89"/>
    <n v="1154.92"/>
    <x v="1"/>
    <m/>
    <m/>
    <m/>
  </r>
  <r>
    <d v="2017-03-15T00:00:00"/>
    <s v="CHECKCARD 0313 VENDING BESTFIT SCOTTSDALE AZ 24013397073002032077383"/>
    <n v="-1"/>
    <n v="1158.81"/>
    <x v="1"/>
    <m/>
    <m/>
    <m/>
  </r>
  <r>
    <d v="2017-03-16T00:00:00"/>
    <s v="IT'S ALL GOODZ 03/16 #000518780 PURCHASE 933 E UNIVERSITY TEMPE AZ"/>
    <n v="-20.420000000000002"/>
    <n v="2056.75"/>
    <x v="12"/>
    <m/>
    <m/>
    <m/>
  </r>
  <r>
    <d v="2017-03-16T00:00:00"/>
    <s v="TRADER JOE'S # 03/16 #000555131 PURCHASE TRADER JOE'S # 09 TEMPE AZ"/>
    <n v="-31.85"/>
    <n v="2077.17"/>
    <x v="19"/>
    <m/>
    <m/>
    <m/>
  </r>
  <r>
    <d v="2017-03-16T00:00:00"/>
    <s v="SHELL Service 03/16 #000071417 PURCHASE SHELL Service Sta TEMPE AZ"/>
    <n v="-4.6100000000000003"/>
    <n v="2109.02"/>
    <x v="0"/>
    <m/>
    <m/>
    <m/>
  </r>
  <r>
    <d v="2017-03-16T00:00:00"/>
    <s v="CHECKCARD 0315 VENDING BESTFIT SCOTTSDALE AZ 24013397074002278140654"/>
    <n v="-1"/>
    <n v="2113.63"/>
    <x v="1"/>
    <m/>
    <m/>
    <m/>
  </r>
  <r>
    <d v="2017-03-16T00:00:00"/>
    <s v="CHECKCARD 0314 WENDY'S CHANDLER AZ 24445007074100159422036"/>
    <n v="-3.22"/>
    <n v="2114.63"/>
    <x v="1"/>
    <m/>
    <m/>
    <m/>
  </r>
  <r>
    <d v="2017-03-16T00:00:00"/>
    <s v="CHECKCARD 0314 VENDING BESTFIT SCOTTSDALE AZ 24013397074002172293922"/>
    <n v="-1"/>
    <n v="2117.85"/>
    <x v="1"/>
    <m/>
    <m/>
    <m/>
  </r>
  <r>
    <d v="2017-03-16T00:00:00"/>
    <s v="US FOODS, INC. DES:DIR DEP ID:190132 INDN:SOTELO,JOSE G CO ID:XXXXX42294 PPD"/>
    <n v="1100.8599999999999"/>
    <n v="2118.85"/>
    <x v="4"/>
    <m/>
    <m/>
    <m/>
  </r>
  <r>
    <d v="2017-03-17T00:00:00"/>
    <s v="FRYS FOOD &amp; DR 03/17 #000084789 PURCHASE 7770 E. MCDOWELL SCOTTSDALE AZ"/>
    <n v="-32.950000000000003"/>
    <n v="1994.56"/>
    <x v="17"/>
    <m/>
    <m/>
    <m/>
  </r>
  <r>
    <d v="2017-03-17T00:00:00"/>
    <s v="COSTCO GAS #04 03/17 #000273257 PURCHASE COSTCO GAS #0465 PHOENIX AZ"/>
    <n v="-21.57"/>
    <n v="2027.51"/>
    <x v="0"/>
    <m/>
    <m/>
    <m/>
  </r>
  <r>
    <d v="2017-03-17T00:00:00"/>
    <s v="CHECKCARD 0316 PANDA EXPRESS #529 GUADALUPE AZ 24431067076838000090704"/>
    <n v="-6.59"/>
    <n v="2049.08"/>
    <x v="1"/>
    <m/>
    <m/>
    <m/>
  </r>
  <r>
    <d v="2017-03-17T00:00:00"/>
    <s v="CHECKCARD 0315 MCDONALD'S F10384 TEMPE AZ 24427337075710053123902"/>
    <n v="-1.08"/>
    <n v="2055.67"/>
    <x v="2"/>
    <m/>
    <m/>
    <m/>
  </r>
  <r>
    <d v="2017-03-17T00:00:00"/>
    <s v="Annalyn"/>
    <n v="20"/>
    <n v="40"/>
    <x v="8"/>
    <m/>
    <m/>
    <m/>
  </r>
  <r>
    <d v="2017-03-19T00:00:00"/>
    <s v="Boyce Thompson Arboretum"/>
    <n v="-13"/>
    <n v="27"/>
    <x v="8"/>
    <m/>
    <m/>
    <m/>
  </r>
  <r>
    <d v="2017-03-20T00:00:00"/>
    <s v="PAYPAL DES:INST XFER ID:ARIZONAARTI INDN:JOSE SOTELO CO ID:PAYPALSI77 WEB"/>
    <n v="-80"/>
    <n v="1461.49"/>
    <x v="27"/>
    <m/>
    <s v="Saguaro Man ticket"/>
    <m/>
  </r>
  <r>
    <d v="2017-03-20T00:00:00"/>
    <s v="CHECKCARD 0319 QT 431 05004312 MESA AZ 24399007078993100233987"/>
    <n v="-6.31"/>
    <n v="1541.49"/>
    <x v="8"/>
    <m/>
    <m/>
    <m/>
  </r>
  <r>
    <d v="2017-03-20T00:00:00"/>
    <s v="FRYS FOOD &amp; DR 03/18 #000082261 PURCHASE 7770 E. MCDOWELL SCOTTSDALE AZ"/>
    <n v="-16.170000000000002"/>
    <n v="1547.8"/>
    <x v="17"/>
    <m/>
    <m/>
    <m/>
  </r>
  <r>
    <d v="2017-03-20T00:00:00"/>
    <s v="CHECKCARD 0318 DEFALCOS ITALIAN GROCE SCOTTSDALE AZ 24765017078206388003666"/>
    <n v="-16"/>
    <n v="1563.97"/>
    <x v="8"/>
    <m/>
    <m/>
    <m/>
  </r>
  <r>
    <d v="2017-03-20T00:00:00"/>
    <s v="IT'S ALL GOODZ 03/18 #000519510 PURCHASE 933 E UNIVERSITY TEMPE AZ"/>
    <n v="-20.420000000000002"/>
    <n v="1579.97"/>
    <x v="12"/>
    <m/>
    <m/>
    <m/>
  </r>
  <r>
    <d v="2017-03-20T00:00:00"/>
    <s v="CHECKCARD 0317 ROADHOUSE CINEMAS S SCOTTSDALE AZ 24559307078900011809623"/>
    <n v="-32.31"/>
    <n v="1600.39"/>
    <x v="8"/>
    <m/>
    <m/>
    <m/>
  </r>
  <r>
    <d v="2017-03-20T00:00:00"/>
    <s v="CHECKCARD 0319 ARIZONA PRIVATE EDUCAT 480-699-8911 AZ 24692167078000774502410"/>
    <n v="-200"/>
    <n v="1632.7"/>
    <x v="34"/>
    <m/>
    <m/>
    <m/>
  </r>
  <r>
    <d v="2017-03-20T00:00:00"/>
    <s v="CHECKCARD 0317 PANDA EXPRESS #529 GUADALUPE AZ 24431067077838000094184"/>
    <n v="-6.59"/>
    <n v="1832.7"/>
    <x v="1"/>
    <m/>
    <m/>
    <m/>
  </r>
  <r>
    <d v="2017-03-20T00:00:00"/>
    <s v="CHECKCARD 0317 DUNKIN #348936 Q35 TEMPE AZ 24610437077072021521839"/>
    <n v="-3.87"/>
    <n v="1839.29"/>
    <x v="2"/>
    <m/>
    <m/>
    <m/>
  </r>
  <r>
    <d v="2017-03-20T00:00:00"/>
    <s v="CHECKCARD 0317 QUICK N CLEAN - 19 SCOTTSDALE AZ 24269797077100404621776"/>
    <n v="-16.95"/>
    <n v="1843.16"/>
    <x v="25"/>
    <m/>
    <m/>
    <m/>
  </r>
  <r>
    <d v="2017-03-20T00:00:00"/>
    <s v="CHECKCARD 0317 VENDING BESTFIT SCOTTSDALE AZ 24013397077002626872393"/>
    <n v="-1"/>
    <n v="1860.11"/>
    <x v="1"/>
    <m/>
    <m/>
    <m/>
  </r>
  <r>
    <d v="2017-03-20T00:00:00"/>
    <s v="CHECKCARD 0316 VERIZON WRL MY ACCT VW 800-9220204 CA 24498047076666125720695"/>
    <n v="-78.099999999999994"/>
    <n v="1861.11"/>
    <x v="35"/>
    <m/>
    <m/>
    <m/>
  </r>
  <r>
    <d v="2017-03-20T00:00:00"/>
    <s v="CHECKCARD 0317 TEMPE UTILITIES TEMPE AZ 24761977077838031109530"/>
    <n v="-52.87"/>
    <n v="1939.21"/>
    <x v="15"/>
    <m/>
    <s v="Account 8527338663"/>
    <m/>
  </r>
  <r>
    <d v="2017-03-20T00:00:00"/>
    <s v="CHECKCARD 0316 MCDONALD'S F10384 TEMPE AZ 24427337076710057036455"/>
    <n v="-2.48"/>
    <n v="1992.08"/>
    <x v="2"/>
    <m/>
    <m/>
    <m/>
  </r>
  <r>
    <d v="2017-03-20T00:00:00"/>
    <s v="Mom gave me birthday money"/>
    <n v="140"/>
    <n v="167"/>
    <x v="36"/>
    <m/>
    <m/>
    <m/>
  </r>
  <r>
    <d v="2017-03-21T00:00:00"/>
    <s v="AFLAC DES:INSURANCE ID:PY3066820117079 INDN:SOTELO, JOSE CO ID:XXXXX63085 PPD"/>
    <n v="-84.63"/>
    <n v="1334.31"/>
    <x v="37"/>
    <m/>
    <m/>
    <m/>
  </r>
  <r>
    <d v="2017-03-21T00:00:00"/>
    <s v="CHECKCARD 0318 MASTEL CLEANERS SCOTTSDALE AZ 24789307079545103050528"/>
    <n v="-13.57"/>
    <n v="1418.94"/>
    <x v="13"/>
    <m/>
    <m/>
    <m/>
  </r>
  <r>
    <d v="2017-03-21T00:00:00"/>
    <s v="CHECKCARD 0317 ROADHOUSE CINEMAS S 480-7507295 AZ 24559307079400760012833"/>
    <n v="-28.98"/>
    <n v="1432.51"/>
    <x v="8"/>
    <m/>
    <m/>
    <m/>
  </r>
  <r>
    <d v="2017-03-22T00:00:00"/>
    <s v="CHECKCARD 0321 DOWNTOWN TEMPE AUTHORIT TEMPE AZ 24055227081200575519732"/>
    <n v="-1.5"/>
    <n v="1325.88"/>
    <x v="38"/>
    <m/>
    <m/>
    <m/>
  </r>
  <r>
    <d v="2017-03-22T00:00:00"/>
    <s v="CHECKCARD 0321 VENDING BESTFIT SCOTTSDALE AZ 24013397080003193188614"/>
    <n v="-1"/>
    <n v="1327.38"/>
    <x v="1"/>
    <m/>
    <m/>
    <m/>
  </r>
  <r>
    <d v="2017-03-22T00:00:00"/>
    <s v="CHECKCARD 0320 CHICK-FIL-A #02567 CHANDLER AZ 24427337080710016842070"/>
    <n v="-4.0999999999999996"/>
    <n v="1328.38"/>
    <x v="1"/>
    <m/>
    <m/>
    <m/>
  </r>
  <r>
    <d v="2017-03-22T00:00:00"/>
    <s v="CHECKCARD 0320 DUNKIN #347629 Q3 TEMPE AZ 24610437080072022291270"/>
    <n v="-1.83"/>
    <n v="1332.48"/>
    <x v="2"/>
    <m/>
    <m/>
    <m/>
  </r>
  <r>
    <d v="2017-03-23T00:00:00"/>
    <s v="CHECKCARD PORTILLOS HOT DOG Tempe AZ ON 03/21"/>
    <n v="-5.78"/>
    <n v="1317.09"/>
    <x v="1"/>
    <m/>
    <m/>
    <m/>
  </r>
  <r>
    <d v="2017-03-23T00:00:00"/>
    <s v="CHECKCARD 0321 MCDONALD'S F10384 TEMPE AZ 24427337081710050932489"/>
    <n v="-1.08"/>
    <n v="1322.87"/>
    <x v="2"/>
    <m/>
    <m/>
    <m/>
  </r>
  <r>
    <d v="2017-03-23T00:00:00"/>
    <s v="CHECKCARD 0321 DUNKIN #348936 Q35 TEMPE AZ 24610437081072002901491"/>
    <n v="-1.93"/>
    <n v="1323.95"/>
    <x v="2"/>
    <m/>
    <m/>
    <m/>
  </r>
  <r>
    <d v="2017-03-24T00:00:00"/>
    <s v="TRADER JOE'S # 03/24 #000726883 PURCHASE TRADER JOE'S # 09 TEMPE AZ"/>
    <n v="-21.19"/>
    <n v="1289.31"/>
    <x v="8"/>
    <m/>
    <m/>
    <m/>
  </r>
  <r>
    <d v="2017-03-24T00:00:00"/>
    <s v="CHECKCARD 0323 PANDA EXPRESS #529 GUADALUPE AZ 24431067083838000008723"/>
    <n v="-6.59"/>
    <n v="1310.5"/>
    <x v="1"/>
    <m/>
    <m/>
    <m/>
  </r>
  <r>
    <d v="2017-03-25T00:00:00"/>
    <s v="Gracie's friend"/>
    <n v="10"/>
    <n v="177"/>
    <x v="8"/>
    <m/>
    <m/>
    <m/>
  </r>
  <r>
    <d v="2017-03-27T00:00:00"/>
    <s v="VALERO IN THE 03/27 #000077021 PURCHASE VALERO IN THE ZON SCOTTSDALE AZ"/>
    <n v="-3.23"/>
    <n v="1194.3399999999999"/>
    <x v="17"/>
    <m/>
    <m/>
    <m/>
  </r>
  <r>
    <d v="2017-03-27T00:00:00"/>
    <s v="CIRCLE K 03747 03/26 #000257165 PURCHASE CIRCLE K 03747 TEMPE AZ"/>
    <n v="-3.02"/>
    <n v="1197.57"/>
    <x v="17"/>
    <m/>
    <m/>
    <m/>
  </r>
  <r>
    <d v="2017-03-27T00:00:00"/>
    <s v="BURGER KING #4 03/26 #000822647 PURCHASE 6737 EAST THOMAS SCOTTSDALE AZ"/>
    <n v="-1.08"/>
    <n v="1200.5899999999999"/>
    <x v="2"/>
    <m/>
    <m/>
    <m/>
  </r>
  <r>
    <d v="2017-03-27T00:00:00"/>
    <s v="CHECKCARD 0324 EL HEFE SCOTTSDALE SCOTTSDALE AZ 24801667085700232803742"/>
    <n v="-47"/>
    <n v="1201.67"/>
    <x v="8"/>
    <m/>
    <m/>
    <m/>
  </r>
  <r>
    <d v="2017-03-27T00:00:00"/>
    <s v="CHECKCARD 0324 YARD HOUSE 83100083121 SCOTTSDALE AZ 24164077084574104880003"/>
    <n v="-21.76"/>
    <n v="1248.67"/>
    <x v="8"/>
    <m/>
    <m/>
    <m/>
  </r>
  <r>
    <d v="2017-03-27T00:00:00"/>
    <s v="CHECKCARD 0324 YUPHA'S THAI KITCHEN,L TEMPE AZ 24692167084000585518946"/>
    <n v="-12"/>
    <n v="1270.43"/>
    <x v="1"/>
    <m/>
    <m/>
    <m/>
  </r>
  <r>
    <d v="2017-03-27T00:00:00"/>
    <s v="CHECKCARD 0324 DUNKIN #348936 Q35 TEMPE AZ 24610437085072006067006"/>
    <n v="-3.87"/>
    <n v="1282.43"/>
    <x v="2"/>
    <m/>
    <m/>
    <m/>
  </r>
  <r>
    <d v="2017-03-27T00:00:00"/>
    <s v="CHECKCARD 0323 MCDONALD'S F10384 TEMPE AZ 24427337083710056632255"/>
    <n v="-1.08"/>
    <n v="1286.3"/>
    <x v="2"/>
    <m/>
    <m/>
    <m/>
  </r>
  <r>
    <d v="2017-03-27T00:00:00"/>
    <s v="CHECKCARD 0323 DUNKIN #348936 Q35 TEMPE AZ 24610437083072003055477"/>
    <n v="-1.93"/>
    <n v="1287.3800000000001"/>
    <x v="2"/>
    <m/>
    <m/>
    <m/>
  </r>
  <r>
    <d v="2017-03-28T00:00:00"/>
    <s v="CHECKCARD MCDONALD'S F11340 CHANDLER AZ ON 03/28"/>
    <n v="-1.61"/>
    <n v="2093.75"/>
    <x v="2"/>
    <m/>
    <m/>
    <m/>
  </r>
  <r>
    <d v="2017-03-28T00:00:00"/>
    <s v="CHECKCARD WENDY'S CHANDLER AZ ON 03/28"/>
    <n v="-3.22"/>
    <n v="2095.36"/>
    <x v="1"/>
    <m/>
    <m/>
    <m/>
  </r>
  <r>
    <d v="2017-03-28T00:00:00"/>
    <s v="CHECKCARD 03/28 DUNKIN #348936 Q35 TEMPE AZ"/>
    <n v="-1.93"/>
    <n v="2098.58"/>
    <x v="2"/>
    <m/>
    <m/>
    <m/>
  </r>
  <r>
    <d v="2017-03-28T00:00:00"/>
    <s v="PROG ADVANCED DES:INS PREM ID:76029168 JOSE INDN:JOSE G SOTELO CO ID:XXXXX48096 PPD"/>
    <n v="-107.17"/>
    <n v="1057.45"/>
    <x v="29"/>
    <m/>
    <m/>
    <m/>
  </r>
  <r>
    <d v="2017-03-28T00:00:00"/>
    <s v="WALGREENS STOR 03/28 #000022065 PURCHASE WALGREENS STORE 7 SCOTTSDALE AZ"/>
    <n v="-16.72"/>
    <n v="1164.6199999999999"/>
    <x v="39"/>
    <m/>
    <m/>
    <m/>
  </r>
  <r>
    <d v="2017-03-28T00:00:00"/>
    <s v="CHECKCARD 0326 POSTINO TEMPE TEMPE AZ 24688087086080080865962"/>
    <n v="-13"/>
    <n v="1181.3399999999999"/>
    <x v="2"/>
    <m/>
    <m/>
    <m/>
  </r>
  <r>
    <d v="2017-03-28T00:00:00"/>
    <s v="J for entertainment"/>
    <n v="-100"/>
    <n v="77"/>
    <x v="24"/>
    <m/>
    <m/>
    <m/>
  </r>
  <r>
    <d v="2017-03-29T00:00:00"/>
    <s v="CHECKCARD EINSTEIN BROS BAG SCOTTSDALE AZ ON 03/29"/>
    <n v="-3.77"/>
    <n v="2089.98"/>
    <x v="2"/>
    <m/>
    <m/>
    <m/>
  </r>
  <r>
    <d v="2017-03-29T00:00:00"/>
    <s v="VALERO IN THE 03/29 #000206470 PURCHASE VALERO IN THE ZON SCOTTSDALE AZ"/>
    <n v="-3.23"/>
    <n v="1085.71"/>
    <x v="17"/>
    <m/>
    <m/>
    <m/>
  </r>
  <r>
    <d v="2017-03-29T00:00:00"/>
    <s v="TEMPE 03/29 #000279400 PURCHASE 1545 N SCOTTSDALE TEMPE AZ"/>
    <n v="-21.78"/>
    <n v="1088.94"/>
    <x v="0"/>
    <m/>
    <m/>
    <m/>
  </r>
  <r>
    <d v="2017-03-29T00:00:00"/>
    <s v="CHECKCARD 0327 PORTILLOS HOT DOGS #35 TEMPE AZ 24789307087599902696098"/>
    <n v="-5.78"/>
    <n v="1110.72"/>
    <x v="1"/>
    <m/>
    <m/>
    <m/>
  </r>
  <r>
    <d v="2017-03-29T00:00:00"/>
    <s v="CHECKCARD 0327 DUNKIN #347629 Q3 TEMPE AZ 24610437087072017259590"/>
    <n v="-1.83"/>
    <n v="1116.5"/>
    <x v="2"/>
    <m/>
    <m/>
    <m/>
  </r>
  <r>
    <d v="2017-03-29T00:00:00"/>
    <s v="PAYPAL DES:TRANSFER ID:4F922A3W4QL3A INDN:JOSE SOTELO CO ID:PAYPALSD11 PPD"/>
    <n v="91"/>
    <n v="1118.33"/>
    <x v="7"/>
    <m/>
    <m/>
    <m/>
  </r>
  <r>
    <d v="2017-03-29T00:00:00"/>
    <s v="PAYPAL DES:TRANSFER ID:4F922A3W4QL3A INDN:JOSE SOTELO CO ID:PAYPALSD11 PPD"/>
    <n v="-30.12"/>
    <n v="1027.33"/>
    <x v="26"/>
    <m/>
    <m/>
    <m/>
  </r>
  <r>
    <d v="2017-03-29T00:00:00"/>
    <s v="Unknown"/>
    <n v="-21"/>
    <n v="56"/>
    <x v="40"/>
    <m/>
    <m/>
    <m/>
  </r>
  <r>
    <d v="2017-03-30T00:00:00"/>
    <s v="Rent"/>
    <n v="-663"/>
    <n v="1208.8499999999999"/>
    <x v="30"/>
    <m/>
    <m/>
    <m/>
  </r>
  <r>
    <d v="2017-03-30T00:00:00"/>
    <s v="Cox Communications"/>
    <n v="-57.99"/>
    <n v="1893.85"/>
    <x v="10"/>
    <m/>
    <m/>
    <m/>
  </r>
  <r>
    <d v="2017-03-30T00:00:00"/>
    <s v="SW Gas"/>
    <n v="-26.29"/>
    <n v="1951.84"/>
    <x v="5"/>
    <m/>
    <m/>
    <m/>
  </r>
  <r>
    <d v="2017-03-30T00:00:00"/>
    <s v="CHECKCARD 03/30 PANDA EXPRESS TEMPE AZ"/>
    <n v="-2.11"/>
    <n v="2083.56"/>
    <x v="1"/>
    <m/>
    <m/>
    <m/>
  </r>
  <r>
    <d v="2017-03-30T00:00:00"/>
    <s v="CHECKCARD 03/30 MCDONALD'S F10384 TEMPE AZ"/>
    <n v="-2.48"/>
    <n v="2085.67"/>
    <x v="2"/>
    <m/>
    <m/>
    <m/>
  </r>
  <r>
    <d v="2017-03-30T00:00:00"/>
    <s v="CHECKCARD 03/30 DUNKIN #347629 Q TEMPE AZ"/>
    <n v="-1.83"/>
    <n v="2088.15"/>
    <x v="2"/>
    <m/>
    <m/>
    <m/>
  </r>
  <r>
    <d v="2017-03-30T00:00:00"/>
    <s v="ACH CREDIT US FOODS, INC. DIR DEP ON 03/30"/>
    <n v="1014.8"/>
    <n v="2100.5100000000002"/>
    <x v="4"/>
    <m/>
    <m/>
    <m/>
  </r>
  <r>
    <d v="2017-04-01T00:00:00"/>
    <s v="Patreon"/>
    <n v="-10"/>
    <n v="1883.85"/>
    <x v="3"/>
    <m/>
    <m/>
    <m/>
  </r>
  <r>
    <d v="2017-04-09T00:00:00"/>
    <s v="Amazon Prime"/>
    <n v="-12"/>
    <n v="1871.85"/>
    <x v="16"/>
    <m/>
    <m/>
    <m/>
  </r>
  <r>
    <d v="2017-04-17T00:00:00"/>
    <s v="Tempe Water"/>
    <n v="-52.09"/>
    <n v="1978.13"/>
    <x v="15"/>
    <m/>
    <m/>
    <m/>
  </r>
  <r>
    <d v="2017-04-17T00:00:00"/>
    <s v="SRP"/>
    <n v="-53.34"/>
    <n v="2030.22"/>
    <x v="11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J1:K43" firstHeaderRow="1" firstDataRow="1" firstDataCol="1"/>
  <pivotFields count="8">
    <pivotField numFmtId="14" showAll="0"/>
    <pivotField showAll="0"/>
    <pivotField dataField="1" showAll="0"/>
    <pivotField showAll="0"/>
    <pivotField axis="axisRow" showAll="0">
      <items count="42">
        <item x="17"/>
        <item x="16"/>
        <item x="21"/>
        <item x="13"/>
        <item x="3"/>
        <item x="7"/>
        <item x="2"/>
        <item x="27"/>
        <item x="29"/>
        <item x="25"/>
        <item x="14"/>
        <item x="6"/>
        <item x="18"/>
        <item x="11"/>
        <item x="22"/>
        <item x="24"/>
        <item x="19"/>
        <item x="0"/>
        <item x="5"/>
        <item x="8"/>
        <item x="31"/>
        <item x="28"/>
        <item x="10"/>
        <item x="20"/>
        <item x="1"/>
        <item x="39"/>
        <item x="4"/>
        <item x="9"/>
        <item x="30"/>
        <item x="26"/>
        <item x="15"/>
        <item x="12"/>
        <item x="23"/>
        <item x="32"/>
        <item x="35"/>
        <item x="33"/>
        <item x="34"/>
        <item x="36"/>
        <item x="37"/>
        <item x="38"/>
        <item x="40"/>
        <item t="default"/>
      </items>
    </pivotField>
    <pivotField showAll="0"/>
    <pivotField showAll="0"/>
    <pivotField showAll="0"/>
  </pivotFields>
  <rowFields count="1">
    <field x="4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Items count="1">
    <i/>
  </colItem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4" displayName="Table4" ref="D47:E51" totalsRowShown="0" headerRowDxfId="2">
  <autoFilter ref="D47:E51"/>
  <tableColumns count="2">
    <tableColumn id="1" name="Pre Tax Desc"/>
    <tableColumn id="2" name="Pre Tax Amt" dataCellStyle="Currenc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Table5" displayName="Table5" ref="G47:H51" totalsRowShown="0" headerRowDxfId="1">
  <autoFilter ref="G47:H51"/>
  <tableColumns count="2">
    <tableColumn id="1" name="Tax Desc"/>
    <tableColumn id="2" name="Tax Rate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6" displayName="Table6" ref="J47:K50" totalsRowShown="0" headerRowDxfId="0">
  <autoFilter ref="J47:K50"/>
  <tableColumns count="2">
    <tableColumn id="1" name="After Tax Desc"/>
    <tableColumn id="2" name="After Tax Amt" dataCellStyle="Currency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104"/>
  <sheetViews>
    <sheetView tabSelected="1" workbookViewId="0">
      <selection activeCell="B16" sqref="B16"/>
    </sheetView>
  </sheetViews>
  <sheetFormatPr defaultRowHeight="15" x14ac:dyDescent="0.25"/>
  <cols>
    <col min="1" max="1" width="19.7109375" bestFit="1" customWidth="1"/>
    <col min="2" max="2" width="15.85546875" customWidth="1"/>
    <col min="3" max="3" width="30.140625" bestFit="1" customWidth="1"/>
    <col min="4" max="4" width="24.28515625" bestFit="1" customWidth="1"/>
    <col min="5" max="5" width="17.85546875" bestFit="1" customWidth="1"/>
    <col min="6" max="7" width="11.7109375" customWidth="1"/>
    <col min="8" max="8" width="12.85546875" customWidth="1"/>
    <col min="9" max="9" width="19.28515625" customWidth="1"/>
    <col min="10" max="10" width="10.5703125" customWidth="1"/>
    <col min="11" max="11" width="11.5703125" customWidth="1"/>
    <col min="12" max="12" width="14.140625" customWidth="1"/>
    <col min="13" max="13" width="13.7109375" customWidth="1"/>
    <col min="15" max="15" width="14.7109375" customWidth="1"/>
    <col min="16" max="16" width="12.85546875" customWidth="1"/>
  </cols>
  <sheetData>
    <row r="1" spans="1:5" ht="15.75" thickBot="1" x14ac:dyDescent="0.3">
      <c r="A1" s="1" t="s">
        <v>0</v>
      </c>
      <c r="C1" s="2"/>
    </row>
    <row r="2" spans="1:5" ht="15.75" thickBot="1" x14ac:dyDescent="0.3">
      <c r="A2" s="3" t="s">
        <v>1</v>
      </c>
      <c r="B2" s="4">
        <v>8</v>
      </c>
      <c r="D2" t="s">
        <v>2</v>
      </c>
      <c r="E2" s="5">
        <f>B5</f>
        <v>0.45833333333333331</v>
      </c>
    </row>
    <row r="3" spans="1:5" ht="15.75" thickBot="1" x14ac:dyDescent="0.3">
      <c r="A3" s="6"/>
      <c r="B3" s="7"/>
      <c r="D3" t="s">
        <v>3</v>
      </c>
      <c r="E3" s="5">
        <f>B6</f>
        <v>0.47916666666666669</v>
      </c>
    </row>
    <row r="4" spans="1:5" ht="15.75" thickBot="1" x14ac:dyDescent="0.3">
      <c r="A4" s="6" t="s">
        <v>4</v>
      </c>
      <c r="B4" s="8">
        <v>0.30972222222222223</v>
      </c>
    </row>
    <row r="5" spans="1:5" ht="15.75" thickBot="1" x14ac:dyDescent="0.3">
      <c r="A5" s="6" t="s">
        <v>5</v>
      </c>
      <c r="B5" s="8">
        <v>0.45833333333333331</v>
      </c>
      <c r="D5" t="s">
        <v>6</v>
      </c>
      <c r="E5" s="9">
        <f>(E3-E2)*24</f>
        <v>0.50000000000000089</v>
      </c>
    </row>
    <row r="6" spans="1:5" ht="15.75" thickBot="1" x14ac:dyDescent="0.3">
      <c r="A6" s="6" t="s">
        <v>7</v>
      </c>
      <c r="B6" s="8">
        <v>0.47916666666666669</v>
      </c>
      <c r="C6" s="10"/>
      <c r="D6" t="s">
        <v>8</v>
      </c>
      <c r="E6">
        <f>E5*60</f>
        <v>30.000000000000053</v>
      </c>
    </row>
    <row r="7" spans="1:5" ht="15.75" thickBot="1" x14ac:dyDescent="0.3">
      <c r="A7" s="11" t="s">
        <v>9</v>
      </c>
      <c r="B7" s="12">
        <f>B6+TIME(0,((B2*60)-((B5-B4)*1440)),0)</f>
        <v>0.66388888888888897</v>
      </c>
    </row>
    <row r="8" spans="1:5" x14ac:dyDescent="0.25">
      <c r="A8" s="13"/>
      <c r="B8" s="13"/>
      <c r="C8" s="14"/>
    </row>
    <row r="9" spans="1:5" x14ac:dyDescent="0.25">
      <c r="A9" s="13"/>
      <c r="B9" s="13"/>
      <c r="C9" s="10"/>
    </row>
    <row r="10" spans="1:5" ht="15.75" thickBot="1" x14ac:dyDescent="0.3">
      <c r="A10" s="15" t="s">
        <v>0</v>
      </c>
      <c r="B10" s="13"/>
    </row>
    <row r="11" spans="1:5" ht="15.75" thickBot="1" x14ac:dyDescent="0.3">
      <c r="A11" s="6" t="s">
        <v>4</v>
      </c>
      <c r="B11" s="16">
        <f>B4</f>
        <v>0.30972222222222223</v>
      </c>
    </row>
    <row r="12" spans="1:5" ht="15.75" thickBot="1" x14ac:dyDescent="0.3">
      <c r="A12" s="6" t="s">
        <v>10</v>
      </c>
      <c r="B12" s="16">
        <f>B5</f>
        <v>0.45833333333333331</v>
      </c>
    </row>
    <row r="13" spans="1:5" ht="15.75" thickBot="1" x14ac:dyDescent="0.3">
      <c r="A13" s="6" t="s">
        <v>11</v>
      </c>
      <c r="B13" s="16">
        <f>B6</f>
        <v>0.47916666666666669</v>
      </c>
    </row>
    <row r="14" spans="1:5" ht="15.75" thickBot="1" x14ac:dyDescent="0.3">
      <c r="A14" s="6" t="s">
        <v>12</v>
      </c>
      <c r="B14" s="8">
        <v>0.64722222222222225</v>
      </c>
    </row>
    <row r="15" spans="1:5" ht="15.75" thickBot="1" x14ac:dyDescent="0.3">
      <c r="A15" s="11" t="s">
        <v>13</v>
      </c>
      <c r="B15" s="17">
        <f>((B12-B11)+(B14-B13))*24</f>
        <v>7.6</v>
      </c>
    </row>
    <row r="19" spans="1:17" x14ac:dyDescent="0.25">
      <c r="A19" s="1" t="s">
        <v>14</v>
      </c>
      <c r="B19" s="1" t="s">
        <v>15</v>
      </c>
      <c r="C19" s="1" t="s">
        <v>16</v>
      </c>
      <c r="D19" s="1" t="s">
        <v>17</v>
      </c>
      <c r="E19" s="1" t="s">
        <v>18</v>
      </c>
      <c r="F19">
        <v>40</v>
      </c>
      <c r="Q19" s="1"/>
    </row>
    <row r="20" spans="1:17" x14ac:dyDescent="0.25">
      <c r="A20" t="s">
        <v>19</v>
      </c>
      <c r="B20" s="10">
        <v>8</v>
      </c>
      <c r="C20" s="10">
        <f>40-SUM($B$20:B20)</f>
        <v>32</v>
      </c>
    </row>
    <row r="21" spans="1:17" x14ac:dyDescent="0.25">
      <c r="A21" t="s">
        <v>20</v>
      </c>
      <c r="B21" s="10">
        <v>9.2799999999999994</v>
      </c>
      <c r="C21" s="10">
        <f>40-SUM($B$20:B21)</f>
        <v>22.72</v>
      </c>
    </row>
    <row r="22" spans="1:17" x14ac:dyDescent="0.25">
      <c r="A22" t="s">
        <v>21</v>
      </c>
      <c r="B22" s="10">
        <v>8</v>
      </c>
      <c r="C22" s="10">
        <f>40-SUM($B$20:B22)</f>
        <v>14.719999999999999</v>
      </c>
    </row>
    <row r="23" spans="1:17" x14ac:dyDescent="0.25">
      <c r="A23" t="s">
        <v>22</v>
      </c>
      <c r="B23" s="10">
        <v>9.9700000000000006</v>
      </c>
      <c r="C23" s="10">
        <f>40-SUM($B$20:B23)</f>
        <v>4.75</v>
      </c>
    </row>
    <row r="24" spans="1:17" x14ac:dyDescent="0.25">
      <c r="A24" t="s">
        <v>23</v>
      </c>
      <c r="B24" s="10">
        <f>B15</f>
        <v>7.6</v>
      </c>
      <c r="C24" s="10">
        <f>40-SUM($B$20:B24)</f>
        <v>-2.8500000000000014</v>
      </c>
    </row>
    <row r="25" spans="1:17" ht="15.75" thickBot="1" x14ac:dyDescent="0.3">
      <c r="A25" s="1" t="s">
        <v>24</v>
      </c>
      <c r="B25" s="18">
        <f>SUM(B20:B24)</f>
        <v>42.85</v>
      </c>
      <c r="C25" s="18">
        <f>(B25-40)</f>
        <v>2.8500000000000014</v>
      </c>
      <c r="D25" s="19">
        <f>IF(ISERROR((F19-SUM(B20:B24))/(5-COUNT(B20:B24))),0,(F19-SUM(B20:B24))/(5-COUNT(B20:B24)))</f>
        <v>0</v>
      </c>
    </row>
    <row r="26" spans="1:17" x14ac:dyDescent="0.25">
      <c r="A26" t="s">
        <v>19</v>
      </c>
      <c r="B26" s="10">
        <v>6.93</v>
      </c>
      <c r="C26" s="10">
        <f>40-SUM($B$26:B26)</f>
        <v>33.07</v>
      </c>
    </row>
    <row r="27" spans="1:17" x14ac:dyDescent="0.25">
      <c r="A27" t="s">
        <v>20</v>
      </c>
      <c r="B27" s="10">
        <f>B15</f>
        <v>7.6</v>
      </c>
      <c r="C27" s="10">
        <f>40-SUM($B$26:B27)</f>
        <v>25.47</v>
      </c>
    </row>
    <row r="28" spans="1:17" x14ac:dyDescent="0.25">
      <c r="A28" t="s">
        <v>21</v>
      </c>
      <c r="B28" s="10"/>
      <c r="C28" s="10">
        <f>40-SUM($B$26:B28)</f>
        <v>25.47</v>
      </c>
    </row>
    <row r="29" spans="1:17" x14ac:dyDescent="0.25">
      <c r="A29" t="s">
        <v>22</v>
      </c>
      <c r="B29" s="10"/>
      <c r="C29" s="10">
        <f>40-SUM($B$26:B29)</f>
        <v>25.47</v>
      </c>
    </row>
    <row r="30" spans="1:17" x14ac:dyDescent="0.25">
      <c r="A30" t="s">
        <v>23</v>
      </c>
      <c r="B30" s="10"/>
      <c r="C30" s="10">
        <f>40-SUM($B$26:B30)</f>
        <v>25.47</v>
      </c>
    </row>
    <row r="31" spans="1:17" ht="15.75" thickBot="1" x14ac:dyDescent="0.3">
      <c r="A31" s="1" t="s">
        <v>25</v>
      </c>
      <c r="B31" s="18">
        <f>SUM(B26:B30)</f>
        <v>14.53</v>
      </c>
      <c r="C31" s="18">
        <f>(B31-40)</f>
        <v>-25.47</v>
      </c>
      <c r="D31" s="19">
        <f>IF(ISERROR((F19-SUM(B26:B30))/(5-COUNT(B26:B30))),0,(F19-SUM(B26:B30))/(5-COUNT(B26:B30)))</f>
        <v>8.49</v>
      </c>
    </row>
    <row r="32" spans="1:17" x14ac:dyDescent="0.25">
      <c r="A32" s="1" t="s">
        <v>26</v>
      </c>
      <c r="B32">
        <f>SUM(B25,B31)</f>
        <v>57.38</v>
      </c>
      <c r="C32" s="10">
        <f>SUM(C25,C31)</f>
        <v>-22.619999999999997</v>
      </c>
    </row>
    <row r="33" spans="1:41" x14ac:dyDescent="0.25">
      <c r="A33" s="1"/>
    </row>
    <row r="34" spans="1:41" x14ac:dyDescent="0.25">
      <c r="A34" s="1" t="s">
        <v>27</v>
      </c>
    </row>
    <row r="35" spans="1:41" x14ac:dyDescent="0.25">
      <c r="A35" s="1" t="s">
        <v>28</v>
      </c>
    </row>
    <row r="36" spans="1:41" x14ac:dyDescent="0.25">
      <c r="A36" s="1"/>
    </row>
    <row r="37" spans="1:41" x14ac:dyDescent="0.25">
      <c r="A37" s="1"/>
    </row>
    <row r="38" spans="1:41" x14ac:dyDescent="0.25">
      <c r="A38" s="1"/>
    </row>
    <row r="39" spans="1:41" x14ac:dyDescent="0.25">
      <c r="A39" s="1"/>
    </row>
    <row r="40" spans="1:41" x14ac:dyDescent="0.25">
      <c r="A40" s="1"/>
      <c r="B40" s="1" t="s">
        <v>29</v>
      </c>
      <c r="C40" s="1" t="s">
        <v>30</v>
      </c>
      <c r="D40" s="1" t="s">
        <v>31</v>
      </c>
    </row>
    <row r="41" spans="1:41" ht="15.75" thickBot="1" x14ac:dyDescent="0.3">
      <c r="A41" s="1" t="str">
        <f>A25</f>
        <v>Week 1 Totals</v>
      </c>
      <c r="B41" s="18">
        <f>IF(B25&gt;=40.01,$B$47*40,$B$47*B25)</f>
        <v>716</v>
      </c>
      <c r="C41" s="18">
        <f>IF(($B$47*1.5)*(C25*-1)*-1&lt;=-0.01,0,($B$47*1.5)*(C25*-1)*-1)</f>
        <v>76.522500000000036</v>
      </c>
      <c r="D41" s="18">
        <f>SUM(B41:C41)</f>
        <v>792.52250000000004</v>
      </c>
    </row>
    <row r="42" spans="1:41" ht="15.75" thickBot="1" x14ac:dyDescent="0.3">
      <c r="A42" s="1" t="str">
        <f>A31</f>
        <v>Week 2 Totals</v>
      </c>
      <c r="B42" s="18">
        <f>IF(B31&gt;=40.01,$B$47*40,$B$47*B31)</f>
        <v>260.08699999999999</v>
      </c>
      <c r="C42" s="18">
        <f>IF(($B$47*1.5)*(C31*-1)*-1&lt;=-0.01,0,($B$47*1.5)*(C31*-1)*-1)</f>
        <v>0</v>
      </c>
      <c r="D42" s="18">
        <f>SUM(B42:C42)</f>
        <v>260.08699999999999</v>
      </c>
    </row>
    <row r="43" spans="1:41" ht="15.75" thickBot="1" x14ac:dyDescent="0.3">
      <c r="A43" s="1" t="str">
        <f>A32</f>
        <v>Totals</v>
      </c>
      <c r="B43" s="20">
        <f>SUM(B41,B42)</f>
        <v>976.08699999999999</v>
      </c>
      <c r="C43" s="20">
        <f>SUM(C41,C42)</f>
        <v>76.522500000000036</v>
      </c>
      <c r="D43" s="20">
        <f>SUM(D41,D42)</f>
        <v>1052.6095</v>
      </c>
    </row>
    <row r="44" spans="1:41" ht="15.75" thickTop="1" x14ac:dyDescent="0.25">
      <c r="A44" s="1"/>
    </row>
    <row r="45" spans="1:41" x14ac:dyDescent="0.25">
      <c r="A45" s="1"/>
      <c r="AO45" t="s">
        <v>32</v>
      </c>
    </row>
    <row r="46" spans="1:41" x14ac:dyDescent="0.25">
      <c r="AO46" t="s">
        <v>32</v>
      </c>
    </row>
    <row r="47" spans="1:41" x14ac:dyDescent="0.25">
      <c r="A47" s="1" t="s">
        <v>33</v>
      </c>
      <c r="B47" s="21">
        <v>17.899999999999999</v>
      </c>
      <c r="D47" s="1" t="s">
        <v>34</v>
      </c>
      <c r="E47" s="1" t="s">
        <v>35</v>
      </c>
      <c r="F47" s="1"/>
      <c r="G47" s="1" t="s">
        <v>36</v>
      </c>
      <c r="H47" s="1" t="s">
        <v>37</v>
      </c>
      <c r="I47" s="1"/>
      <c r="J47" s="1" t="s">
        <v>38</v>
      </c>
      <c r="K47" s="1" t="s">
        <v>39</v>
      </c>
      <c r="AO47" t="s">
        <v>32</v>
      </c>
    </row>
    <row r="48" spans="1:41" x14ac:dyDescent="0.25">
      <c r="A48" t="s">
        <v>40</v>
      </c>
      <c r="B48" s="21">
        <f>SUM(B41,B42)</f>
        <v>976.08699999999999</v>
      </c>
      <c r="D48" t="s">
        <v>41</v>
      </c>
      <c r="E48" s="21">
        <v>-11.29</v>
      </c>
      <c r="G48" t="s">
        <v>42</v>
      </c>
      <c r="H48" s="22">
        <v>-0.117548163216465</v>
      </c>
      <c r="J48" t="s">
        <v>43</v>
      </c>
      <c r="K48" s="21">
        <v>-1.06</v>
      </c>
      <c r="AO48" t="s">
        <v>32</v>
      </c>
    </row>
    <row r="49" spans="1:41" x14ac:dyDescent="0.25">
      <c r="A49" t="s">
        <v>44</v>
      </c>
      <c r="B49" s="21">
        <f>SUM(C41,C42)</f>
        <v>76.522500000000036</v>
      </c>
      <c r="D49" t="s">
        <v>45</v>
      </c>
      <c r="E49" s="21">
        <v>-26.21</v>
      </c>
      <c r="G49" t="s">
        <v>46</v>
      </c>
      <c r="H49" s="22">
        <v>-1.4496829005624001E-2</v>
      </c>
      <c r="J49" t="s">
        <v>47</v>
      </c>
      <c r="K49" s="21">
        <v>-6.72</v>
      </c>
      <c r="AO49" t="s">
        <v>32</v>
      </c>
    </row>
    <row r="50" spans="1:41" x14ac:dyDescent="0.25">
      <c r="A50" t="s">
        <v>48</v>
      </c>
      <c r="B50" s="21">
        <f>B47*SUM(B34:B35)</f>
        <v>0</v>
      </c>
      <c r="D50" t="s">
        <v>49</v>
      </c>
      <c r="E50" s="21">
        <v>-4.0599999999999996</v>
      </c>
      <c r="G50" t="s">
        <v>50</v>
      </c>
      <c r="H50" s="22">
        <v>-6.1993828911542197E-2</v>
      </c>
      <c r="J50" t="s">
        <v>51</v>
      </c>
      <c r="K50" s="21">
        <f>B51*0.05*-1</f>
        <v>-52.630475000000004</v>
      </c>
      <c r="AO50" t="s">
        <v>32</v>
      </c>
    </row>
    <row r="51" spans="1:41" ht="15.75" thickBot="1" x14ac:dyDescent="0.3">
      <c r="A51" s="1" t="s">
        <v>52</v>
      </c>
      <c r="B51" s="23">
        <f>SUM(B48:B50)</f>
        <v>1052.6095</v>
      </c>
      <c r="D51" s="19" t="s">
        <v>53</v>
      </c>
      <c r="E51" s="24">
        <v>-11.53</v>
      </c>
      <c r="G51" t="s">
        <v>54</v>
      </c>
      <c r="H51" s="25">
        <v>-1.8001011699182601E-2</v>
      </c>
      <c r="AO51" t="s">
        <v>32</v>
      </c>
    </row>
    <row r="52" spans="1:41" x14ac:dyDescent="0.25">
      <c r="A52" t="s">
        <v>41</v>
      </c>
      <c r="B52" s="21">
        <f>VLOOKUP(A52,PreTaxTable,2,FALSE)</f>
        <v>-11.29</v>
      </c>
      <c r="AO52" t="s">
        <v>32</v>
      </c>
    </row>
    <row r="53" spans="1:41" x14ac:dyDescent="0.25">
      <c r="A53" t="s">
        <v>45</v>
      </c>
      <c r="B53" s="21">
        <f>VLOOKUP(A53,PreTaxTable,2,FALSE)</f>
        <v>-26.21</v>
      </c>
      <c r="AO53" t="s">
        <v>32</v>
      </c>
    </row>
    <row r="54" spans="1:41" x14ac:dyDescent="0.25">
      <c r="A54" t="s">
        <v>49</v>
      </c>
      <c r="B54" s="21">
        <f>VLOOKUP(A54,PreTaxTable,2,FALSE)</f>
        <v>-4.0599999999999996</v>
      </c>
      <c r="J54" s="2"/>
      <c r="AO54" t="s">
        <v>32</v>
      </c>
    </row>
    <row r="55" spans="1:41" x14ac:dyDescent="0.25">
      <c r="A55" t="s">
        <v>53</v>
      </c>
      <c r="B55" s="21">
        <f>VLOOKUP(A55,PreTaxTable,2,FALSE)</f>
        <v>-11.53</v>
      </c>
      <c r="AO55" t="s">
        <v>32</v>
      </c>
    </row>
    <row r="56" spans="1:41" ht="15.75" thickBot="1" x14ac:dyDescent="0.3">
      <c r="A56" s="1" t="s">
        <v>55</v>
      </c>
      <c r="B56" s="23">
        <f>VLOOKUP($A$51,$A$47:$B$56,2,FALSE)+SUM(B52:B55)</f>
        <v>999.51949999999999</v>
      </c>
      <c r="AO56" t="s">
        <v>32</v>
      </c>
    </row>
    <row r="57" spans="1:41" x14ac:dyDescent="0.25">
      <c r="A57" t="s">
        <v>42</v>
      </c>
      <c r="B57" s="21">
        <f>VLOOKUP(A57,TaxTable,2,FALSE)*VLOOKUP($A$56,$A$47:$B$60,2,FALSE)</f>
        <v>-117.49168132403949</v>
      </c>
      <c r="D57" s="2">
        <v>1671.4</v>
      </c>
      <c r="E57">
        <v>100</v>
      </c>
      <c r="AO57" t="s">
        <v>32</v>
      </c>
    </row>
    <row r="58" spans="1:41" x14ac:dyDescent="0.25">
      <c r="A58" t="s">
        <v>46</v>
      </c>
      <c r="B58" s="21">
        <f>VLOOKUP(A58,TaxTable,2,FALSE)*VLOOKUP($A$56,$A$47:$B$60,2,FALSE)</f>
        <v>-14.489863279286798</v>
      </c>
      <c r="D58">
        <v>103.6</v>
      </c>
      <c r="E58" s="26">
        <f>(D58*E57)/D57</f>
        <v>6.1983965537872443</v>
      </c>
      <c r="AO58" t="s">
        <v>32</v>
      </c>
    </row>
    <row r="59" spans="1:41" x14ac:dyDescent="0.25">
      <c r="A59" t="s">
        <v>50</v>
      </c>
      <c r="B59" s="21">
        <f>VLOOKUP(A59,TaxTable,2,FALSE)*VLOOKUP($A$56,$A$47:$B$60,2,FALSE)</f>
        <v>-61.964040876750204</v>
      </c>
      <c r="AO59" t="s">
        <v>32</v>
      </c>
    </row>
    <row r="60" spans="1:41" x14ac:dyDescent="0.25">
      <c r="A60" t="s">
        <v>54</v>
      </c>
      <c r="B60" s="21">
        <f>VLOOKUP(A60,TaxTable,2,FALSE)*VLOOKUP($A$56,$A$47:$B$60,2,FALSE)</f>
        <v>-17.992362213061146</v>
      </c>
      <c r="AO60" t="s">
        <v>32</v>
      </c>
    </row>
    <row r="61" spans="1:41" ht="15.75" thickBot="1" x14ac:dyDescent="0.3">
      <c r="A61" s="1" t="s">
        <v>56</v>
      </c>
      <c r="B61" s="23">
        <f>VLOOKUP($A$56,$A$47:$B$61,2,FALSE)+SUM(B57:B60)</f>
        <v>787.58155230686236</v>
      </c>
      <c r="AO61" t="s">
        <v>32</v>
      </c>
    </row>
    <row r="62" spans="1:41" x14ac:dyDescent="0.25">
      <c r="A62" t="s">
        <v>43</v>
      </c>
      <c r="B62" s="27">
        <f>VLOOKUP(A62,AfterTaxTable,2,FALSE)</f>
        <v>-1.06</v>
      </c>
      <c r="AO62" t="s">
        <v>32</v>
      </c>
    </row>
    <row r="63" spans="1:41" x14ac:dyDescent="0.25">
      <c r="A63" t="s">
        <v>47</v>
      </c>
      <c r="B63" s="27">
        <f>VLOOKUP(A63,AfterTaxTable,2,FALSE)</f>
        <v>-6.72</v>
      </c>
      <c r="AO63" t="s">
        <v>32</v>
      </c>
    </row>
    <row r="64" spans="1:41" x14ac:dyDescent="0.25">
      <c r="A64" t="s">
        <v>51</v>
      </c>
      <c r="B64" s="27">
        <f>VLOOKUP(A64,AfterTaxTable,2,FALSE)</f>
        <v>-52.630475000000004</v>
      </c>
      <c r="AO64" t="s">
        <v>32</v>
      </c>
    </row>
    <row r="65" spans="1:41" ht="15.75" thickBot="1" x14ac:dyDescent="0.3">
      <c r="A65" s="1" t="s">
        <v>57</v>
      </c>
      <c r="B65" s="28">
        <f>VLOOKUP($A$61,$A$47:$B$65,2,FALSE)+SUM(B62:B64)</f>
        <v>727.17107730686234</v>
      </c>
      <c r="AO65" t="s">
        <v>32</v>
      </c>
    </row>
    <row r="66" spans="1:41" ht="15.75" thickTop="1" x14ac:dyDescent="0.25">
      <c r="AO66" t="s">
        <v>32</v>
      </c>
    </row>
    <row r="67" spans="1:41" x14ac:dyDescent="0.25">
      <c r="C67" s="2">
        <f>C68-B65</f>
        <v>279.93104517833478</v>
      </c>
      <c r="AO67" t="s">
        <v>32</v>
      </c>
    </row>
    <row r="68" spans="1:41" x14ac:dyDescent="0.25">
      <c r="C68">
        <v>1007.1021224851971</v>
      </c>
      <c r="AO68" t="s">
        <v>32</v>
      </c>
    </row>
    <row r="69" spans="1:41" x14ac:dyDescent="0.25">
      <c r="AO69" t="s">
        <v>32</v>
      </c>
    </row>
    <row r="70" spans="1:41" x14ac:dyDescent="0.25">
      <c r="AO70" t="s">
        <v>32</v>
      </c>
    </row>
    <row r="71" spans="1:41" x14ac:dyDescent="0.25">
      <c r="AO71" t="s">
        <v>32</v>
      </c>
    </row>
    <row r="72" spans="1:41" x14ac:dyDescent="0.25">
      <c r="AO72" t="s">
        <v>32</v>
      </c>
    </row>
    <row r="73" spans="1:41" x14ac:dyDescent="0.25">
      <c r="AO73" t="s">
        <v>32</v>
      </c>
    </row>
    <row r="74" spans="1:41" x14ac:dyDescent="0.25">
      <c r="AO74" t="s">
        <v>32</v>
      </c>
    </row>
    <row r="75" spans="1:41" x14ac:dyDescent="0.25">
      <c r="AO75" t="s">
        <v>32</v>
      </c>
    </row>
    <row r="76" spans="1:41" x14ac:dyDescent="0.25">
      <c r="AO76" t="s">
        <v>32</v>
      </c>
    </row>
    <row r="77" spans="1:41" x14ac:dyDescent="0.25">
      <c r="AO77" t="s">
        <v>32</v>
      </c>
    </row>
    <row r="78" spans="1:41" x14ac:dyDescent="0.25">
      <c r="AO78" t="s">
        <v>32</v>
      </c>
    </row>
    <row r="79" spans="1:41" x14ac:dyDescent="0.25">
      <c r="AO79" t="s">
        <v>32</v>
      </c>
    </row>
    <row r="80" spans="1:41" x14ac:dyDescent="0.25">
      <c r="AO80" t="s">
        <v>32</v>
      </c>
    </row>
    <row r="81" spans="41:41" x14ac:dyDescent="0.25">
      <c r="AO81" t="s">
        <v>32</v>
      </c>
    </row>
    <row r="82" spans="41:41" x14ac:dyDescent="0.25">
      <c r="AO82" t="s">
        <v>32</v>
      </c>
    </row>
    <row r="83" spans="41:41" x14ac:dyDescent="0.25">
      <c r="AO83" t="s">
        <v>32</v>
      </c>
    </row>
    <row r="84" spans="41:41" x14ac:dyDescent="0.25">
      <c r="AO84" t="s">
        <v>32</v>
      </c>
    </row>
    <row r="85" spans="41:41" x14ac:dyDescent="0.25">
      <c r="AO85" t="s">
        <v>32</v>
      </c>
    </row>
    <row r="86" spans="41:41" x14ac:dyDescent="0.25">
      <c r="AO86" t="s">
        <v>32</v>
      </c>
    </row>
    <row r="87" spans="41:41" x14ac:dyDescent="0.25">
      <c r="AO87" t="s">
        <v>32</v>
      </c>
    </row>
    <row r="88" spans="41:41" x14ac:dyDescent="0.25">
      <c r="AO88" t="s">
        <v>32</v>
      </c>
    </row>
    <row r="89" spans="41:41" x14ac:dyDescent="0.25">
      <c r="AO89" t="s">
        <v>32</v>
      </c>
    </row>
    <row r="90" spans="41:41" x14ac:dyDescent="0.25">
      <c r="AO90" t="s">
        <v>32</v>
      </c>
    </row>
    <row r="91" spans="41:41" x14ac:dyDescent="0.25">
      <c r="AO91" t="s">
        <v>32</v>
      </c>
    </row>
    <row r="92" spans="41:41" x14ac:dyDescent="0.25">
      <c r="AO92" t="s">
        <v>32</v>
      </c>
    </row>
    <row r="93" spans="41:41" x14ac:dyDescent="0.25">
      <c r="AO93" t="s">
        <v>32</v>
      </c>
    </row>
    <row r="94" spans="41:41" x14ac:dyDescent="0.25">
      <c r="AO94" t="s">
        <v>32</v>
      </c>
    </row>
    <row r="95" spans="41:41" x14ac:dyDescent="0.25">
      <c r="AO95" t="s">
        <v>32</v>
      </c>
    </row>
    <row r="96" spans="41:41" x14ac:dyDescent="0.25">
      <c r="AO96" t="s">
        <v>32</v>
      </c>
    </row>
    <row r="97" spans="41:41" x14ac:dyDescent="0.25">
      <c r="AO97" t="s">
        <v>32</v>
      </c>
    </row>
    <row r="98" spans="41:41" x14ac:dyDescent="0.25">
      <c r="AO98" t="s">
        <v>32</v>
      </c>
    </row>
    <row r="99" spans="41:41" x14ac:dyDescent="0.25">
      <c r="AO99" t="s">
        <v>32</v>
      </c>
    </row>
    <row r="100" spans="41:41" x14ac:dyDescent="0.25">
      <c r="AO100" t="s">
        <v>32</v>
      </c>
    </row>
    <row r="101" spans="41:41" x14ac:dyDescent="0.25">
      <c r="AO101" t="s">
        <v>32</v>
      </c>
    </row>
    <row r="102" spans="41:41" x14ac:dyDescent="0.25">
      <c r="AO102" t="s">
        <v>32</v>
      </c>
    </row>
    <row r="103" spans="41:41" x14ac:dyDescent="0.25">
      <c r="AO103" t="s">
        <v>32</v>
      </c>
    </row>
    <row r="104" spans="41:41" x14ac:dyDescent="0.25">
      <c r="AO104" t="s">
        <v>32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9"/>
  <sheetViews>
    <sheetView workbookViewId="0">
      <selection activeCell="A7" sqref="A7:A9"/>
    </sheetView>
  </sheetViews>
  <sheetFormatPr defaultRowHeight="15" x14ac:dyDescent="0.25"/>
  <cols>
    <col min="1" max="1" width="150.85546875" bestFit="1" customWidth="1"/>
  </cols>
  <sheetData>
    <row r="1" spans="1:2" x14ac:dyDescent="0.25">
      <c r="A1" t="s">
        <v>357</v>
      </c>
      <c r="B1" t="s">
        <v>352</v>
      </c>
    </row>
    <row r="3" spans="1:2" x14ac:dyDescent="0.25">
      <c r="A3" t="str">
        <f>SUBSTITUTE(A1," ","")</f>
        <v>ContBasis</v>
      </c>
      <c r="B3" t="s">
        <v>353</v>
      </c>
    </row>
    <row r="5" spans="1:2" x14ac:dyDescent="0.25">
      <c r="A5" t="str">
        <f>LOWER(LEFT(A3,1))&amp;RIGHT(A3,LEN(A3)-1)</f>
        <v>contBasis</v>
      </c>
      <c r="B5" t="s">
        <v>354</v>
      </c>
    </row>
    <row r="7" spans="1:2" x14ac:dyDescent="0.25">
      <c r="A7" t="str">
        <f>"Set getPosition = Range(""A1:IV1"").Find("""&amp;A1&amp;""", lookat:=xlWhole)"</f>
        <v>Set getPosition = Range("A1:IV1").Find("Cont Basis", lookat:=xlWhole)</v>
      </c>
      <c r="B7" t="s">
        <v>356</v>
      </c>
    </row>
    <row r="9" spans="1:2" x14ac:dyDescent="0.25">
      <c r="A9" t="str">
        <f>A5&amp;"ColumnLetter = Evaluate(""MID("""""" &amp; "&amp;"getPosition.Address &amp; """""",FIND(""""$"""","""""" &amp; "&amp;"getPosition.Address &amp; """""")+1,FIND(""""$"""","""""" &amp; "&amp;"getPosition.Address &amp; """""",2)-2)"")"</f>
        <v>contBasisColumnLetter = Evaluate("MID(""" &amp; getPosition.Address &amp; """,FIND(""$"",""" &amp; getPosition.Address &amp; """)+1,FIND(""$"",""" &amp; getPosition.Address &amp; """,2)-2)")</v>
      </c>
      <c r="B9" t="s">
        <v>355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04"/>
  <sheetViews>
    <sheetView workbookViewId="0">
      <pane ySplit="1" topLeftCell="A2" activePane="bottomLeft" state="frozen"/>
      <selection pane="bottomLeft" activeCell="I16" sqref="I16"/>
    </sheetView>
  </sheetViews>
  <sheetFormatPr defaultRowHeight="15" x14ac:dyDescent="0.25"/>
  <cols>
    <col min="1" max="1" width="8.7109375" bestFit="1" customWidth="1"/>
    <col min="2" max="2" width="11" bestFit="1" customWidth="1"/>
    <col min="3" max="4" width="10.85546875" bestFit="1" customWidth="1"/>
    <col min="5" max="5" width="11.140625" bestFit="1" customWidth="1"/>
    <col min="6" max="6" width="18.28515625" bestFit="1" customWidth="1"/>
    <col min="8" max="8" width="4.85546875" bestFit="1" customWidth="1"/>
    <col min="9" max="9" width="4.140625" bestFit="1" customWidth="1"/>
    <col min="10" max="10" width="12.5703125" bestFit="1" customWidth="1"/>
    <col min="11" max="11" width="17.5703125" bestFit="1" customWidth="1"/>
    <col min="12" max="12" width="6" bestFit="1" customWidth="1"/>
    <col min="13" max="13" width="15.7109375" bestFit="1" customWidth="1"/>
  </cols>
  <sheetData>
    <row r="1" spans="1:13" x14ac:dyDescent="0.25">
      <c r="A1" t="s">
        <v>58</v>
      </c>
      <c r="B1" t="s">
        <v>59</v>
      </c>
      <c r="C1" t="s">
        <v>60</v>
      </c>
      <c r="D1" t="s">
        <v>61</v>
      </c>
      <c r="E1" t="s">
        <v>62</v>
      </c>
      <c r="F1" t="s">
        <v>63</v>
      </c>
      <c r="H1" s="1" t="s">
        <v>64</v>
      </c>
      <c r="I1" s="1" t="s">
        <v>65</v>
      </c>
      <c r="J1" s="1" t="s">
        <v>66</v>
      </c>
      <c r="K1" s="1" t="s">
        <v>67</v>
      </c>
      <c r="L1" s="1" t="s">
        <v>68</v>
      </c>
      <c r="M1" s="1" t="s">
        <v>69</v>
      </c>
    </row>
    <row r="2" spans="1:13" x14ac:dyDescent="0.25">
      <c r="A2">
        <v>1</v>
      </c>
      <c r="B2">
        <f>$L$2*A2</f>
        <v>18.299999999999997</v>
      </c>
      <c r="C2">
        <f>B2*0.6</f>
        <v>10.979999999999999</v>
      </c>
      <c r="D2">
        <f>B2*0.4</f>
        <v>7.3199999999999994</v>
      </c>
      <c r="E2">
        <f>$J$2*A2</f>
        <v>36.700000000000003</v>
      </c>
      <c r="F2">
        <f>E2+B2</f>
        <v>55</v>
      </c>
      <c r="H2" s="29">
        <v>36.700000000000003</v>
      </c>
      <c r="I2" s="29">
        <v>1</v>
      </c>
      <c r="J2" s="1">
        <f>H2/I2</f>
        <v>36.700000000000003</v>
      </c>
      <c r="K2" s="29">
        <v>55</v>
      </c>
      <c r="L2" s="1">
        <f>K2-J2</f>
        <v>18.299999999999997</v>
      </c>
      <c r="M2" s="30">
        <f>L2/J2</f>
        <v>0.49863760217983638</v>
      </c>
    </row>
    <row r="3" spans="1:13" x14ac:dyDescent="0.25">
      <c r="A3">
        <v>2</v>
      </c>
      <c r="B3">
        <f t="shared" ref="B3:B66" si="0">$L$2*A3</f>
        <v>36.599999999999994</v>
      </c>
      <c r="C3">
        <f t="shared" ref="C3:C66" si="1">B3*0.6</f>
        <v>21.959999999999997</v>
      </c>
      <c r="D3">
        <f t="shared" ref="D3:D66" si="2">B3*0.4</f>
        <v>14.639999999999999</v>
      </c>
      <c r="E3">
        <f t="shared" ref="E3:E66" si="3">$J$2*A3</f>
        <v>73.400000000000006</v>
      </c>
      <c r="F3">
        <f t="shared" ref="F3:F66" si="4">E3+B3</f>
        <v>110</v>
      </c>
    </row>
    <row r="4" spans="1:13" x14ac:dyDescent="0.25">
      <c r="A4">
        <v>3</v>
      </c>
      <c r="B4">
        <f t="shared" si="0"/>
        <v>54.899999999999991</v>
      </c>
      <c r="C4">
        <f t="shared" si="1"/>
        <v>32.939999999999991</v>
      </c>
      <c r="D4">
        <f t="shared" si="2"/>
        <v>21.959999999999997</v>
      </c>
      <c r="E4">
        <f t="shared" si="3"/>
        <v>110.10000000000001</v>
      </c>
      <c r="F4">
        <f t="shared" si="4"/>
        <v>165</v>
      </c>
    </row>
    <row r="5" spans="1:13" x14ac:dyDescent="0.25">
      <c r="A5">
        <v>4</v>
      </c>
      <c r="B5">
        <f t="shared" si="0"/>
        <v>73.199999999999989</v>
      </c>
      <c r="C5">
        <f t="shared" si="1"/>
        <v>43.919999999999995</v>
      </c>
      <c r="D5">
        <f t="shared" si="2"/>
        <v>29.279999999999998</v>
      </c>
      <c r="E5">
        <f t="shared" si="3"/>
        <v>146.80000000000001</v>
      </c>
      <c r="F5">
        <f t="shared" si="4"/>
        <v>220</v>
      </c>
    </row>
    <row r="6" spans="1:13" x14ac:dyDescent="0.25">
      <c r="A6">
        <v>5</v>
      </c>
      <c r="B6">
        <f t="shared" si="0"/>
        <v>91.499999999999986</v>
      </c>
      <c r="C6">
        <f t="shared" si="1"/>
        <v>54.899999999999991</v>
      </c>
      <c r="D6">
        <f t="shared" si="2"/>
        <v>36.599999999999994</v>
      </c>
      <c r="E6">
        <f t="shared" si="3"/>
        <v>183.5</v>
      </c>
      <c r="F6">
        <f t="shared" si="4"/>
        <v>275</v>
      </c>
    </row>
    <row r="7" spans="1:13" x14ac:dyDescent="0.25">
      <c r="A7">
        <v>6</v>
      </c>
      <c r="B7">
        <f t="shared" si="0"/>
        <v>109.79999999999998</v>
      </c>
      <c r="C7">
        <f t="shared" si="1"/>
        <v>65.879999999999981</v>
      </c>
      <c r="D7">
        <f t="shared" si="2"/>
        <v>43.919999999999995</v>
      </c>
      <c r="E7">
        <f t="shared" si="3"/>
        <v>220.20000000000002</v>
      </c>
      <c r="F7">
        <f t="shared" si="4"/>
        <v>330</v>
      </c>
    </row>
    <row r="8" spans="1:13" x14ac:dyDescent="0.25">
      <c r="A8">
        <v>7</v>
      </c>
      <c r="B8">
        <f t="shared" si="0"/>
        <v>128.09999999999997</v>
      </c>
      <c r="C8">
        <f t="shared" si="1"/>
        <v>76.859999999999971</v>
      </c>
      <c r="D8">
        <f t="shared" si="2"/>
        <v>51.239999999999988</v>
      </c>
      <c r="E8">
        <f t="shared" si="3"/>
        <v>256.90000000000003</v>
      </c>
      <c r="F8">
        <f t="shared" si="4"/>
        <v>385</v>
      </c>
    </row>
    <row r="9" spans="1:13" x14ac:dyDescent="0.25">
      <c r="A9">
        <v>8</v>
      </c>
      <c r="B9">
        <f t="shared" si="0"/>
        <v>146.39999999999998</v>
      </c>
      <c r="C9">
        <f t="shared" si="1"/>
        <v>87.839999999999989</v>
      </c>
      <c r="D9">
        <f t="shared" si="2"/>
        <v>58.559999999999995</v>
      </c>
      <c r="E9">
        <f t="shared" si="3"/>
        <v>293.60000000000002</v>
      </c>
      <c r="F9">
        <f t="shared" si="4"/>
        <v>440</v>
      </c>
    </row>
    <row r="10" spans="1:13" x14ac:dyDescent="0.25">
      <c r="A10">
        <v>9</v>
      </c>
      <c r="B10">
        <f t="shared" si="0"/>
        <v>164.7</v>
      </c>
      <c r="C10">
        <f t="shared" si="1"/>
        <v>98.82</v>
      </c>
      <c r="D10">
        <f t="shared" si="2"/>
        <v>65.88</v>
      </c>
      <c r="E10">
        <f t="shared" si="3"/>
        <v>330.3</v>
      </c>
      <c r="F10">
        <f t="shared" si="4"/>
        <v>495</v>
      </c>
    </row>
    <row r="11" spans="1:13" x14ac:dyDescent="0.25">
      <c r="A11">
        <v>10</v>
      </c>
      <c r="B11">
        <f t="shared" si="0"/>
        <v>182.99999999999997</v>
      </c>
      <c r="C11">
        <f t="shared" si="1"/>
        <v>109.79999999999998</v>
      </c>
      <c r="D11">
        <f t="shared" si="2"/>
        <v>73.199999999999989</v>
      </c>
      <c r="E11">
        <f t="shared" si="3"/>
        <v>367</v>
      </c>
      <c r="F11">
        <f t="shared" si="4"/>
        <v>550</v>
      </c>
    </row>
    <row r="12" spans="1:13" x14ac:dyDescent="0.25">
      <c r="A12">
        <v>11</v>
      </c>
      <c r="B12">
        <f t="shared" si="0"/>
        <v>201.29999999999995</v>
      </c>
      <c r="C12">
        <f t="shared" si="1"/>
        <v>120.77999999999997</v>
      </c>
      <c r="D12">
        <f t="shared" si="2"/>
        <v>80.519999999999982</v>
      </c>
      <c r="E12">
        <f t="shared" si="3"/>
        <v>403.70000000000005</v>
      </c>
      <c r="F12">
        <f t="shared" si="4"/>
        <v>605</v>
      </c>
    </row>
    <row r="13" spans="1:13" x14ac:dyDescent="0.25">
      <c r="A13">
        <v>12</v>
      </c>
      <c r="B13">
        <f t="shared" si="0"/>
        <v>219.59999999999997</v>
      </c>
      <c r="C13">
        <f t="shared" si="1"/>
        <v>131.75999999999996</v>
      </c>
      <c r="D13">
        <f t="shared" si="2"/>
        <v>87.839999999999989</v>
      </c>
      <c r="E13">
        <f t="shared" si="3"/>
        <v>440.40000000000003</v>
      </c>
      <c r="F13">
        <f t="shared" si="4"/>
        <v>660</v>
      </c>
    </row>
    <row r="14" spans="1:13" x14ac:dyDescent="0.25">
      <c r="A14">
        <v>13</v>
      </c>
      <c r="B14">
        <f t="shared" si="0"/>
        <v>237.89999999999998</v>
      </c>
      <c r="C14">
        <f t="shared" si="1"/>
        <v>142.73999999999998</v>
      </c>
      <c r="D14">
        <f t="shared" si="2"/>
        <v>95.16</v>
      </c>
      <c r="E14">
        <f t="shared" si="3"/>
        <v>477.1</v>
      </c>
      <c r="F14">
        <f t="shared" si="4"/>
        <v>715</v>
      </c>
    </row>
    <row r="15" spans="1:13" x14ac:dyDescent="0.25">
      <c r="A15">
        <v>14</v>
      </c>
      <c r="B15">
        <f t="shared" si="0"/>
        <v>256.19999999999993</v>
      </c>
      <c r="C15">
        <f t="shared" si="1"/>
        <v>153.71999999999994</v>
      </c>
      <c r="D15">
        <f t="shared" si="2"/>
        <v>102.47999999999998</v>
      </c>
      <c r="E15">
        <f t="shared" si="3"/>
        <v>513.80000000000007</v>
      </c>
      <c r="F15">
        <f t="shared" si="4"/>
        <v>770</v>
      </c>
    </row>
    <row r="16" spans="1:13" x14ac:dyDescent="0.25">
      <c r="A16">
        <v>15</v>
      </c>
      <c r="B16">
        <f t="shared" si="0"/>
        <v>274.49999999999994</v>
      </c>
      <c r="C16">
        <f t="shared" si="1"/>
        <v>164.69999999999996</v>
      </c>
      <c r="D16">
        <f t="shared" si="2"/>
        <v>109.79999999999998</v>
      </c>
      <c r="E16">
        <f t="shared" si="3"/>
        <v>550.5</v>
      </c>
      <c r="F16">
        <f t="shared" si="4"/>
        <v>825</v>
      </c>
    </row>
    <row r="17" spans="1:6" x14ac:dyDescent="0.25">
      <c r="A17">
        <v>16</v>
      </c>
      <c r="B17">
        <f t="shared" si="0"/>
        <v>292.79999999999995</v>
      </c>
      <c r="C17">
        <f t="shared" si="1"/>
        <v>175.67999999999998</v>
      </c>
      <c r="D17">
        <f t="shared" si="2"/>
        <v>117.11999999999999</v>
      </c>
      <c r="E17">
        <f t="shared" si="3"/>
        <v>587.20000000000005</v>
      </c>
      <c r="F17">
        <f t="shared" si="4"/>
        <v>880</v>
      </c>
    </row>
    <row r="18" spans="1:6" x14ac:dyDescent="0.25">
      <c r="A18">
        <v>17</v>
      </c>
      <c r="B18">
        <f t="shared" si="0"/>
        <v>311.09999999999997</v>
      </c>
      <c r="C18">
        <f t="shared" si="1"/>
        <v>186.65999999999997</v>
      </c>
      <c r="D18">
        <f t="shared" si="2"/>
        <v>124.44</v>
      </c>
      <c r="E18">
        <f t="shared" si="3"/>
        <v>623.90000000000009</v>
      </c>
      <c r="F18">
        <f t="shared" si="4"/>
        <v>935</v>
      </c>
    </row>
    <row r="19" spans="1:6" x14ac:dyDescent="0.25">
      <c r="A19">
        <v>18</v>
      </c>
      <c r="B19">
        <f t="shared" si="0"/>
        <v>329.4</v>
      </c>
      <c r="C19">
        <f t="shared" si="1"/>
        <v>197.64</v>
      </c>
      <c r="D19">
        <f t="shared" si="2"/>
        <v>131.76</v>
      </c>
      <c r="E19">
        <f t="shared" si="3"/>
        <v>660.6</v>
      </c>
      <c r="F19">
        <f t="shared" si="4"/>
        <v>990</v>
      </c>
    </row>
    <row r="20" spans="1:6" x14ac:dyDescent="0.25">
      <c r="A20">
        <v>19</v>
      </c>
      <c r="B20">
        <f t="shared" si="0"/>
        <v>347.69999999999993</v>
      </c>
      <c r="C20">
        <f t="shared" si="1"/>
        <v>208.61999999999995</v>
      </c>
      <c r="D20">
        <f t="shared" si="2"/>
        <v>139.07999999999998</v>
      </c>
      <c r="E20">
        <f t="shared" si="3"/>
        <v>697.30000000000007</v>
      </c>
      <c r="F20">
        <f t="shared" si="4"/>
        <v>1045</v>
      </c>
    </row>
    <row r="21" spans="1:6" x14ac:dyDescent="0.25">
      <c r="A21">
        <v>20</v>
      </c>
      <c r="B21">
        <f t="shared" si="0"/>
        <v>365.99999999999994</v>
      </c>
      <c r="C21">
        <f t="shared" si="1"/>
        <v>219.59999999999997</v>
      </c>
      <c r="D21">
        <f t="shared" si="2"/>
        <v>146.39999999999998</v>
      </c>
      <c r="E21">
        <f t="shared" si="3"/>
        <v>734</v>
      </c>
      <c r="F21">
        <f t="shared" si="4"/>
        <v>1100</v>
      </c>
    </row>
    <row r="22" spans="1:6" x14ac:dyDescent="0.25">
      <c r="A22">
        <v>21</v>
      </c>
      <c r="B22">
        <f t="shared" si="0"/>
        <v>384.29999999999995</v>
      </c>
      <c r="C22">
        <f t="shared" si="1"/>
        <v>230.57999999999996</v>
      </c>
      <c r="D22">
        <f t="shared" si="2"/>
        <v>153.72</v>
      </c>
      <c r="E22">
        <f t="shared" si="3"/>
        <v>770.7</v>
      </c>
      <c r="F22">
        <f t="shared" si="4"/>
        <v>1155</v>
      </c>
    </row>
    <row r="23" spans="1:6" x14ac:dyDescent="0.25">
      <c r="A23">
        <v>22</v>
      </c>
      <c r="B23">
        <f t="shared" si="0"/>
        <v>402.59999999999991</v>
      </c>
      <c r="C23">
        <f t="shared" si="1"/>
        <v>241.55999999999995</v>
      </c>
      <c r="D23">
        <f t="shared" si="2"/>
        <v>161.03999999999996</v>
      </c>
      <c r="E23">
        <f t="shared" si="3"/>
        <v>807.40000000000009</v>
      </c>
      <c r="F23">
        <f t="shared" si="4"/>
        <v>1210</v>
      </c>
    </row>
    <row r="24" spans="1:6" x14ac:dyDescent="0.25">
      <c r="A24">
        <v>23</v>
      </c>
      <c r="B24">
        <f t="shared" si="0"/>
        <v>420.89999999999992</v>
      </c>
      <c r="C24">
        <f t="shared" si="1"/>
        <v>252.53999999999994</v>
      </c>
      <c r="D24">
        <f t="shared" si="2"/>
        <v>168.35999999999999</v>
      </c>
      <c r="E24">
        <f t="shared" si="3"/>
        <v>844.1</v>
      </c>
      <c r="F24">
        <f t="shared" si="4"/>
        <v>1265</v>
      </c>
    </row>
    <row r="25" spans="1:6" x14ac:dyDescent="0.25">
      <c r="A25">
        <v>24</v>
      </c>
      <c r="B25">
        <f t="shared" si="0"/>
        <v>439.19999999999993</v>
      </c>
      <c r="C25">
        <f t="shared" si="1"/>
        <v>263.51999999999992</v>
      </c>
      <c r="D25">
        <f t="shared" si="2"/>
        <v>175.67999999999998</v>
      </c>
      <c r="E25">
        <f t="shared" si="3"/>
        <v>880.80000000000007</v>
      </c>
      <c r="F25">
        <f t="shared" si="4"/>
        <v>1320</v>
      </c>
    </row>
    <row r="26" spans="1:6" x14ac:dyDescent="0.25">
      <c r="A26">
        <v>25</v>
      </c>
      <c r="B26">
        <f t="shared" si="0"/>
        <v>457.49999999999994</v>
      </c>
      <c r="C26">
        <f t="shared" si="1"/>
        <v>274.49999999999994</v>
      </c>
      <c r="D26">
        <f t="shared" si="2"/>
        <v>183</v>
      </c>
      <c r="E26">
        <f t="shared" si="3"/>
        <v>917.50000000000011</v>
      </c>
      <c r="F26">
        <f t="shared" si="4"/>
        <v>1375</v>
      </c>
    </row>
    <row r="27" spans="1:6" x14ac:dyDescent="0.25">
      <c r="A27">
        <v>26</v>
      </c>
      <c r="B27">
        <f t="shared" si="0"/>
        <v>475.79999999999995</v>
      </c>
      <c r="C27">
        <f t="shared" si="1"/>
        <v>285.47999999999996</v>
      </c>
      <c r="D27">
        <f t="shared" si="2"/>
        <v>190.32</v>
      </c>
      <c r="E27">
        <f t="shared" si="3"/>
        <v>954.2</v>
      </c>
      <c r="F27">
        <f t="shared" si="4"/>
        <v>1430</v>
      </c>
    </row>
    <row r="28" spans="1:6" x14ac:dyDescent="0.25">
      <c r="A28">
        <v>27</v>
      </c>
      <c r="B28">
        <f t="shared" si="0"/>
        <v>494.09999999999991</v>
      </c>
      <c r="C28">
        <f t="shared" si="1"/>
        <v>296.45999999999992</v>
      </c>
      <c r="D28">
        <f t="shared" si="2"/>
        <v>197.64</v>
      </c>
      <c r="E28">
        <f t="shared" si="3"/>
        <v>990.90000000000009</v>
      </c>
      <c r="F28">
        <f t="shared" si="4"/>
        <v>1485</v>
      </c>
    </row>
    <row r="29" spans="1:6" x14ac:dyDescent="0.25">
      <c r="A29">
        <v>28</v>
      </c>
      <c r="B29">
        <f t="shared" si="0"/>
        <v>512.39999999999986</v>
      </c>
      <c r="C29">
        <f t="shared" si="1"/>
        <v>307.43999999999988</v>
      </c>
      <c r="D29">
        <f t="shared" si="2"/>
        <v>204.95999999999995</v>
      </c>
      <c r="E29">
        <f t="shared" si="3"/>
        <v>1027.6000000000001</v>
      </c>
      <c r="F29">
        <f t="shared" si="4"/>
        <v>1540</v>
      </c>
    </row>
    <row r="30" spans="1:6" x14ac:dyDescent="0.25">
      <c r="A30">
        <v>29</v>
      </c>
      <c r="B30">
        <f t="shared" si="0"/>
        <v>530.69999999999993</v>
      </c>
      <c r="C30">
        <f t="shared" si="1"/>
        <v>318.41999999999996</v>
      </c>
      <c r="D30">
        <f t="shared" si="2"/>
        <v>212.27999999999997</v>
      </c>
      <c r="E30">
        <f t="shared" si="3"/>
        <v>1064.3000000000002</v>
      </c>
      <c r="F30">
        <f t="shared" si="4"/>
        <v>1595</v>
      </c>
    </row>
    <row r="31" spans="1:6" x14ac:dyDescent="0.25">
      <c r="A31">
        <v>30</v>
      </c>
      <c r="B31">
        <f t="shared" si="0"/>
        <v>548.99999999999989</v>
      </c>
      <c r="C31">
        <f t="shared" si="1"/>
        <v>329.39999999999992</v>
      </c>
      <c r="D31">
        <f t="shared" si="2"/>
        <v>219.59999999999997</v>
      </c>
      <c r="E31">
        <f t="shared" si="3"/>
        <v>1101</v>
      </c>
      <c r="F31">
        <f t="shared" si="4"/>
        <v>1650</v>
      </c>
    </row>
    <row r="32" spans="1:6" x14ac:dyDescent="0.25">
      <c r="A32">
        <v>31</v>
      </c>
      <c r="B32">
        <f t="shared" si="0"/>
        <v>567.29999999999995</v>
      </c>
      <c r="C32">
        <f t="shared" si="1"/>
        <v>340.37999999999994</v>
      </c>
      <c r="D32">
        <f t="shared" si="2"/>
        <v>226.92</v>
      </c>
      <c r="E32">
        <f t="shared" si="3"/>
        <v>1137.7</v>
      </c>
      <c r="F32">
        <f t="shared" si="4"/>
        <v>1705</v>
      </c>
    </row>
    <row r="33" spans="1:6" x14ac:dyDescent="0.25">
      <c r="A33">
        <v>32</v>
      </c>
      <c r="B33">
        <f t="shared" si="0"/>
        <v>585.59999999999991</v>
      </c>
      <c r="C33">
        <f t="shared" si="1"/>
        <v>351.35999999999996</v>
      </c>
      <c r="D33">
        <f t="shared" si="2"/>
        <v>234.23999999999998</v>
      </c>
      <c r="E33">
        <f t="shared" si="3"/>
        <v>1174.4000000000001</v>
      </c>
      <c r="F33">
        <f t="shared" si="4"/>
        <v>1760</v>
      </c>
    </row>
    <row r="34" spans="1:6" x14ac:dyDescent="0.25">
      <c r="A34">
        <v>33</v>
      </c>
      <c r="B34">
        <f t="shared" si="0"/>
        <v>603.89999999999986</v>
      </c>
      <c r="C34">
        <f t="shared" si="1"/>
        <v>362.33999999999992</v>
      </c>
      <c r="D34">
        <f t="shared" si="2"/>
        <v>241.55999999999995</v>
      </c>
      <c r="E34">
        <f t="shared" si="3"/>
        <v>1211.1000000000001</v>
      </c>
      <c r="F34">
        <f t="shared" si="4"/>
        <v>1815</v>
      </c>
    </row>
    <row r="35" spans="1:6" x14ac:dyDescent="0.25">
      <c r="A35">
        <v>34</v>
      </c>
      <c r="B35">
        <f t="shared" si="0"/>
        <v>622.19999999999993</v>
      </c>
      <c r="C35">
        <f t="shared" si="1"/>
        <v>373.31999999999994</v>
      </c>
      <c r="D35">
        <f t="shared" si="2"/>
        <v>248.88</v>
      </c>
      <c r="E35">
        <f t="shared" si="3"/>
        <v>1247.8000000000002</v>
      </c>
      <c r="F35">
        <f t="shared" si="4"/>
        <v>1870</v>
      </c>
    </row>
    <row r="36" spans="1:6" x14ac:dyDescent="0.25">
      <c r="A36">
        <v>35</v>
      </c>
      <c r="B36">
        <f t="shared" si="0"/>
        <v>640.49999999999989</v>
      </c>
      <c r="C36">
        <f t="shared" si="1"/>
        <v>384.2999999999999</v>
      </c>
      <c r="D36">
        <f t="shared" si="2"/>
        <v>256.2</v>
      </c>
      <c r="E36">
        <f t="shared" si="3"/>
        <v>1284.5</v>
      </c>
      <c r="F36">
        <f t="shared" si="4"/>
        <v>1925</v>
      </c>
    </row>
    <row r="37" spans="1:6" x14ac:dyDescent="0.25">
      <c r="A37">
        <v>36</v>
      </c>
      <c r="B37">
        <f t="shared" si="0"/>
        <v>658.8</v>
      </c>
      <c r="C37">
        <f t="shared" si="1"/>
        <v>395.28</v>
      </c>
      <c r="D37">
        <f t="shared" si="2"/>
        <v>263.52</v>
      </c>
      <c r="E37">
        <f t="shared" si="3"/>
        <v>1321.2</v>
      </c>
      <c r="F37">
        <f t="shared" si="4"/>
        <v>1980</v>
      </c>
    </row>
    <row r="38" spans="1:6" x14ac:dyDescent="0.25">
      <c r="A38">
        <v>37</v>
      </c>
      <c r="B38">
        <f t="shared" si="0"/>
        <v>677.09999999999991</v>
      </c>
      <c r="C38">
        <f t="shared" si="1"/>
        <v>406.25999999999993</v>
      </c>
      <c r="D38">
        <f t="shared" si="2"/>
        <v>270.83999999999997</v>
      </c>
      <c r="E38">
        <f t="shared" si="3"/>
        <v>1357.9</v>
      </c>
      <c r="F38">
        <f t="shared" si="4"/>
        <v>2035</v>
      </c>
    </row>
    <row r="39" spans="1:6" x14ac:dyDescent="0.25">
      <c r="A39">
        <v>38</v>
      </c>
      <c r="B39">
        <f t="shared" si="0"/>
        <v>695.39999999999986</v>
      </c>
      <c r="C39">
        <f t="shared" si="1"/>
        <v>417.2399999999999</v>
      </c>
      <c r="D39">
        <f t="shared" si="2"/>
        <v>278.15999999999997</v>
      </c>
      <c r="E39">
        <f t="shared" si="3"/>
        <v>1394.6000000000001</v>
      </c>
      <c r="F39">
        <f t="shared" si="4"/>
        <v>2090</v>
      </c>
    </row>
    <row r="40" spans="1:6" x14ac:dyDescent="0.25">
      <c r="A40">
        <v>39</v>
      </c>
      <c r="B40">
        <f t="shared" si="0"/>
        <v>713.69999999999993</v>
      </c>
      <c r="C40">
        <f t="shared" si="1"/>
        <v>428.21999999999997</v>
      </c>
      <c r="D40">
        <f t="shared" si="2"/>
        <v>285.47999999999996</v>
      </c>
      <c r="E40">
        <f t="shared" si="3"/>
        <v>1431.3000000000002</v>
      </c>
      <c r="F40">
        <f t="shared" si="4"/>
        <v>2145</v>
      </c>
    </row>
    <row r="41" spans="1:6" x14ac:dyDescent="0.25">
      <c r="A41">
        <v>40</v>
      </c>
      <c r="B41">
        <f t="shared" si="0"/>
        <v>731.99999999999989</v>
      </c>
      <c r="C41">
        <f t="shared" si="1"/>
        <v>439.19999999999993</v>
      </c>
      <c r="D41">
        <f t="shared" si="2"/>
        <v>292.79999999999995</v>
      </c>
      <c r="E41">
        <f t="shared" si="3"/>
        <v>1468</v>
      </c>
      <c r="F41">
        <f t="shared" si="4"/>
        <v>2200</v>
      </c>
    </row>
    <row r="42" spans="1:6" x14ac:dyDescent="0.25">
      <c r="A42">
        <v>41</v>
      </c>
      <c r="B42">
        <f t="shared" si="0"/>
        <v>750.29999999999984</v>
      </c>
      <c r="C42">
        <f t="shared" si="1"/>
        <v>450.17999999999989</v>
      </c>
      <c r="D42">
        <f t="shared" si="2"/>
        <v>300.11999999999995</v>
      </c>
      <c r="E42">
        <f t="shared" si="3"/>
        <v>1504.7</v>
      </c>
      <c r="F42">
        <f t="shared" si="4"/>
        <v>2255</v>
      </c>
    </row>
    <row r="43" spans="1:6" x14ac:dyDescent="0.25">
      <c r="A43">
        <v>42</v>
      </c>
      <c r="B43">
        <f t="shared" si="0"/>
        <v>768.59999999999991</v>
      </c>
      <c r="C43">
        <f t="shared" si="1"/>
        <v>461.15999999999991</v>
      </c>
      <c r="D43">
        <f t="shared" si="2"/>
        <v>307.44</v>
      </c>
      <c r="E43">
        <f t="shared" si="3"/>
        <v>1541.4</v>
      </c>
      <c r="F43">
        <f t="shared" si="4"/>
        <v>2310</v>
      </c>
    </row>
    <row r="44" spans="1:6" x14ac:dyDescent="0.25">
      <c r="A44">
        <v>43</v>
      </c>
      <c r="B44">
        <f t="shared" si="0"/>
        <v>786.89999999999986</v>
      </c>
      <c r="C44">
        <f t="shared" si="1"/>
        <v>472.13999999999987</v>
      </c>
      <c r="D44">
        <f t="shared" si="2"/>
        <v>314.76</v>
      </c>
      <c r="E44">
        <f t="shared" si="3"/>
        <v>1578.1000000000001</v>
      </c>
      <c r="F44">
        <f t="shared" si="4"/>
        <v>2365</v>
      </c>
    </row>
    <row r="45" spans="1:6" x14ac:dyDescent="0.25">
      <c r="A45">
        <v>44</v>
      </c>
      <c r="B45">
        <f t="shared" si="0"/>
        <v>805.19999999999982</v>
      </c>
      <c r="C45">
        <f t="shared" si="1"/>
        <v>483.11999999999989</v>
      </c>
      <c r="D45">
        <f t="shared" si="2"/>
        <v>322.07999999999993</v>
      </c>
      <c r="E45">
        <f t="shared" si="3"/>
        <v>1614.8000000000002</v>
      </c>
      <c r="F45">
        <f t="shared" si="4"/>
        <v>2420</v>
      </c>
    </row>
    <row r="46" spans="1:6" x14ac:dyDescent="0.25">
      <c r="A46">
        <v>45</v>
      </c>
      <c r="B46">
        <f t="shared" si="0"/>
        <v>823.49999999999989</v>
      </c>
      <c r="C46">
        <f t="shared" si="1"/>
        <v>494.09999999999991</v>
      </c>
      <c r="D46">
        <f t="shared" si="2"/>
        <v>329.4</v>
      </c>
      <c r="E46">
        <f t="shared" si="3"/>
        <v>1651.5000000000002</v>
      </c>
      <c r="F46">
        <f t="shared" si="4"/>
        <v>2475</v>
      </c>
    </row>
    <row r="47" spans="1:6" x14ac:dyDescent="0.25">
      <c r="A47">
        <v>46</v>
      </c>
      <c r="B47">
        <f t="shared" si="0"/>
        <v>841.79999999999984</v>
      </c>
      <c r="C47">
        <f t="shared" si="1"/>
        <v>505.07999999999987</v>
      </c>
      <c r="D47">
        <f t="shared" si="2"/>
        <v>336.71999999999997</v>
      </c>
      <c r="E47">
        <f t="shared" si="3"/>
        <v>1688.2</v>
      </c>
      <c r="F47">
        <f t="shared" si="4"/>
        <v>2530</v>
      </c>
    </row>
    <row r="48" spans="1:6" x14ac:dyDescent="0.25">
      <c r="A48">
        <v>47</v>
      </c>
      <c r="B48">
        <f t="shared" si="0"/>
        <v>860.09999999999991</v>
      </c>
      <c r="C48">
        <f t="shared" si="1"/>
        <v>516.05999999999995</v>
      </c>
      <c r="D48">
        <f t="shared" si="2"/>
        <v>344.03999999999996</v>
      </c>
      <c r="E48">
        <f t="shared" si="3"/>
        <v>1724.9</v>
      </c>
      <c r="F48">
        <f t="shared" si="4"/>
        <v>2585</v>
      </c>
    </row>
    <row r="49" spans="1:6" x14ac:dyDescent="0.25">
      <c r="A49">
        <v>48</v>
      </c>
      <c r="B49">
        <f t="shared" si="0"/>
        <v>878.39999999999986</v>
      </c>
      <c r="C49">
        <f t="shared" si="1"/>
        <v>527.03999999999985</v>
      </c>
      <c r="D49">
        <f t="shared" si="2"/>
        <v>351.35999999999996</v>
      </c>
      <c r="E49">
        <f t="shared" si="3"/>
        <v>1761.6000000000001</v>
      </c>
      <c r="F49">
        <f t="shared" si="4"/>
        <v>2640</v>
      </c>
    </row>
    <row r="50" spans="1:6" x14ac:dyDescent="0.25">
      <c r="A50">
        <v>49</v>
      </c>
      <c r="B50">
        <f t="shared" si="0"/>
        <v>896.69999999999982</v>
      </c>
      <c r="C50">
        <f t="shared" si="1"/>
        <v>538.01999999999987</v>
      </c>
      <c r="D50">
        <f t="shared" si="2"/>
        <v>358.67999999999995</v>
      </c>
      <c r="E50">
        <f t="shared" si="3"/>
        <v>1798.3000000000002</v>
      </c>
      <c r="F50">
        <f t="shared" si="4"/>
        <v>2695</v>
      </c>
    </row>
    <row r="51" spans="1:6" x14ac:dyDescent="0.25">
      <c r="A51">
        <v>50</v>
      </c>
      <c r="B51">
        <f t="shared" si="0"/>
        <v>914.99999999999989</v>
      </c>
      <c r="C51">
        <f t="shared" si="1"/>
        <v>548.99999999999989</v>
      </c>
      <c r="D51">
        <f t="shared" si="2"/>
        <v>366</v>
      </c>
      <c r="E51">
        <f t="shared" si="3"/>
        <v>1835.0000000000002</v>
      </c>
      <c r="F51">
        <f t="shared" si="4"/>
        <v>2750</v>
      </c>
    </row>
    <row r="52" spans="1:6" x14ac:dyDescent="0.25">
      <c r="A52">
        <v>51</v>
      </c>
      <c r="B52">
        <f t="shared" si="0"/>
        <v>933.29999999999984</v>
      </c>
      <c r="C52">
        <f t="shared" si="1"/>
        <v>559.9799999999999</v>
      </c>
      <c r="D52">
        <f t="shared" si="2"/>
        <v>373.31999999999994</v>
      </c>
      <c r="E52">
        <f t="shared" si="3"/>
        <v>1871.7</v>
      </c>
      <c r="F52">
        <f t="shared" si="4"/>
        <v>2805</v>
      </c>
    </row>
    <row r="53" spans="1:6" x14ac:dyDescent="0.25">
      <c r="A53">
        <v>52</v>
      </c>
      <c r="B53">
        <f t="shared" si="0"/>
        <v>951.59999999999991</v>
      </c>
      <c r="C53">
        <f t="shared" si="1"/>
        <v>570.95999999999992</v>
      </c>
      <c r="D53">
        <f t="shared" si="2"/>
        <v>380.64</v>
      </c>
      <c r="E53">
        <f t="shared" si="3"/>
        <v>1908.4</v>
      </c>
      <c r="F53">
        <f t="shared" si="4"/>
        <v>2860</v>
      </c>
    </row>
    <row r="54" spans="1:6" x14ac:dyDescent="0.25">
      <c r="A54">
        <v>53</v>
      </c>
      <c r="B54">
        <f t="shared" si="0"/>
        <v>969.89999999999986</v>
      </c>
      <c r="C54">
        <f t="shared" si="1"/>
        <v>581.93999999999994</v>
      </c>
      <c r="D54">
        <f t="shared" si="2"/>
        <v>387.96</v>
      </c>
      <c r="E54">
        <f t="shared" si="3"/>
        <v>1945.1000000000001</v>
      </c>
      <c r="F54">
        <f t="shared" si="4"/>
        <v>2915</v>
      </c>
    </row>
    <row r="55" spans="1:6" x14ac:dyDescent="0.25">
      <c r="A55">
        <v>54</v>
      </c>
      <c r="B55">
        <f t="shared" si="0"/>
        <v>988.19999999999982</v>
      </c>
      <c r="C55">
        <f t="shared" si="1"/>
        <v>592.91999999999985</v>
      </c>
      <c r="D55">
        <f t="shared" si="2"/>
        <v>395.28</v>
      </c>
      <c r="E55">
        <f t="shared" si="3"/>
        <v>1981.8000000000002</v>
      </c>
      <c r="F55">
        <f t="shared" si="4"/>
        <v>2970</v>
      </c>
    </row>
    <row r="56" spans="1:6" x14ac:dyDescent="0.25">
      <c r="A56">
        <v>55</v>
      </c>
      <c r="B56">
        <f t="shared" si="0"/>
        <v>1006.4999999999999</v>
      </c>
      <c r="C56">
        <f t="shared" si="1"/>
        <v>603.89999999999986</v>
      </c>
      <c r="D56">
        <f t="shared" si="2"/>
        <v>402.59999999999997</v>
      </c>
      <c r="E56">
        <f t="shared" si="3"/>
        <v>2018.5000000000002</v>
      </c>
      <c r="F56">
        <f t="shared" si="4"/>
        <v>3025</v>
      </c>
    </row>
    <row r="57" spans="1:6" x14ac:dyDescent="0.25">
      <c r="A57">
        <v>56</v>
      </c>
      <c r="B57">
        <f t="shared" si="0"/>
        <v>1024.7999999999997</v>
      </c>
      <c r="C57">
        <f t="shared" si="1"/>
        <v>614.87999999999977</v>
      </c>
      <c r="D57">
        <f t="shared" si="2"/>
        <v>409.9199999999999</v>
      </c>
      <c r="E57">
        <f t="shared" si="3"/>
        <v>2055.2000000000003</v>
      </c>
      <c r="F57">
        <f t="shared" si="4"/>
        <v>3080</v>
      </c>
    </row>
    <row r="58" spans="1:6" x14ac:dyDescent="0.25">
      <c r="A58">
        <v>57</v>
      </c>
      <c r="B58">
        <f t="shared" si="0"/>
        <v>1043.0999999999999</v>
      </c>
      <c r="C58">
        <f t="shared" si="1"/>
        <v>625.8599999999999</v>
      </c>
      <c r="D58">
        <f t="shared" si="2"/>
        <v>417.24</v>
      </c>
      <c r="E58">
        <f t="shared" si="3"/>
        <v>2091.9</v>
      </c>
      <c r="F58">
        <f t="shared" si="4"/>
        <v>3135</v>
      </c>
    </row>
    <row r="59" spans="1:6" x14ac:dyDescent="0.25">
      <c r="A59">
        <v>58</v>
      </c>
      <c r="B59">
        <f t="shared" si="0"/>
        <v>1061.3999999999999</v>
      </c>
      <c r="C59">
        <f t="shared" si="1"/>
        <v>636.83999999999992</v>
      </c>
      <c r="D59">
        <f t="shared" si="2"/>
        <v>424.55999999999995</v>
      </c>
      <c r="E59">
        <f t="shared" si="3"/>
        <v>2128.6000000000004</v>
      </c>
      <c r="F59">
        <f t="shared" si="4"/>
        <v>3190</v>
      </c>
    </row>
    <row r="60" spans="1:6" x14ac:dyDescent="0.25">
      <c r="A60">
        <v>59</v>
      </c>
      <c r="B60">
        <f t="shared" si="0"/>
        <v>1079.6999999999998</v>
      </c>
      <c r="C60">
        <f t="shared" si="1"/>
        <v>647.81999999999982</v>
      </c>
      <c r="D60">
        <f t="shared" si="2"/>
        <v>431.87999999999994</v>
      </c>
      <c r="E60">
        <f t="shared" si="3"/>
        <v>2165.3000000000002</v>
      </c>
      <c r="F60">
        <f t="shared" si="4"/>
        <v>3245</v>
      </c>
    </row>
    <row r="61" spans="1:6" x14ac:dyDescent="0.25">
      <c r="A61">
        <v>60</v>
      </c>
      <c r="B61">
        <f t="shared" si="0"/>
        <v>1097.9999999999998</v>
      </c>
      <c r="C61">
        <f t="shared" si="1"/>
        <v>658.79999999999984</v>
      </c>
      <c r="D61">
        <f t="shared" si="2"/>
        <v>439.19999999999993</v>
      </c>
      <c r="E61">
        <f t="shared" si="3"/>
        <v>2202</v>
      </c>
      <c r="F61">
        <f t="shared" si="4"/>
        <v>3300</v>
      </c>
    </row>
    <row r="62" spans="1:6" x14ac:dyDescent="0.25">
      <c r="A62">
        <v>61</v>
      </c>
      <c r="B62">
        <f t="shared" si="0"/>
        <v>1116.2999999999997</v>
      </c>
      <c r="C62">
        <f t="shared" si="1"/>
        <v>669.77999999999986</v>
      </c>
      <c r="D62">
        <f t="shared" si="2"/>
        <v>446.51999999999992</v>
      </c>
      <c r="E62">
        <f t="shared" si="3"/>
        <v>2238.7000000000003</v>
      </c>
      <c r="F62">
        <f t="shared" si="4"/>
        <v>3355</v>
      </c>
    </row>
    <row r="63" spans="1:6" x14ac:dyDescent="0.25">
      <c r="A63">
        <v>62</v>
      </c>
      <c r="B63">
        <f t="shared" si="0"/>
        <v>1134.5999999999999</v>
      </c>
      <c r="C63">
        <f t="shared" si="1"/>
        <v>680.75999999999988</v>
      </c>
      <c r="D63">
        <f t="shared" si="2"/>
        <v>453.84</v>
      </c>
      <c r="E63">
        <f t="shared" si="3"/>
        <v>2275.4</v>
      </c>
      <c r="F63">
        <f t="shared" si="4"/>
        <v>3410</v>
      </c>
    </row>
    <row r="64" spans="1:6" x14ac:dyDescent="0.25">
      <c r="A64">
        <v>63</v>
      </c>
      <c r="B64">
        <f t="shared" si="0"/>
        <v>1152.8999999999999</v>
      </c>
      <c r="C64">
        <f t="shared" si="1"/>
        <v>691.7399999999999</v>
      </c>
      <c r="D64">
        <f t="shared" si="2"/>
        <v>461.15999999999997</v>
      </c>
      <c r="E64">
        <f t="shared" si="3"/>
        <v>2312.1000000000004</v>
      </c>
      <c r="F64">
        <f t="shared" si="4"/>
        <v>3465</v>
      </c>
    </row>
    <row r="65" spans="1:6" x14ac:dyDescent="0.25">
      <c r="A65">
        <v>64</v>
      </c>
      <c r="B65">
        <f t="shared" si="0"/>
        <v>1171.1999999999998</v>
      </c>
      <c r="C65">
        <f t="shared" si="1"/>
        <v>702.71999999999991</v>
      </c>
      <c r="D65">
        <f t="shared" si="2"/>
        <v>468.47999999999996</v>
      </c>
      <c r="E65">
        <f t="shared" si="3"/>
        <v>2348.8000000000002</v>
      </c>
      <c r="F65">
        <f t="shared" si="4"/>
        <v>3520</v>
      </c>
    </row>
    <row r="66" spans="1:6" x14ac:dyDescent="0.25">
      <c r="A66">
        <v>65</v>
      </c>
      <c r="B66">
        <f t="shared" si="0"/>
        <v>1189.4999999999998</v>
      </c>
      <c r="C66">
        <f t="shared" si="1"/>
        <v>713.69999999999982</v>
      </c>
      <c r="D66">
        <f t="shared" si="2"/>
        <v>475.79999999999995</v>
      </c>
      <c r="E66">
        <f t="shared" si="3"/>
        <v>2385.5</v>
      </c>
      <c r="F66">
        <f t="shared" si="4"/>
        <v>3575</v>
      </c>
    </row>
    <row r="67" spans="1:6" x14ac:dyDescent="0.25">
      <c r="A67">
        <v>66</v>
      </c>
      <c r="B67">
        <f t="shared" ref="B67:B130" si="5">$L$2*A67</f>
        <v>1207.7999999999997</v>
      </c>
      <c r="C67">
        <f t="shared" ref="C67:C130" si="6">B67*0.6</f>
        <v>724.67999999999984</v>
      </c>
      <c r="D67">
        <f t="shared" ref="D67:D130" si="7">B67*0.4</f>
        <v>483.11999999999989</v>
      </c>
      <c r="E67">
        <f t="shared" ref="E67:E130" si="8">$J$2*A67</f>
        <v>2422.2000000000003</v>
      </c>
      <c r="F67">
        <f t="shared" ref="F67:F130" si="9">E67+B67</f>
        <v>3630</v>
      </c>
    </row>
    <row r="68" spans="1:6" x14ac:dyDescent="0.25">
      <c r="A68">
        <v>67</v>
      </c>
      <c r="B68">
        <f t="shared" si="5"/>
        <v>1226.0999999999999</v>
      </c>
      <c r="C68">
        <f t="shared" si="6"/>
        <v>735.66</v>
      </c>
      <c r="D68">
        <f t="shared" si="7"/>
        <v>490.44</v>
      </c>
      <c r="E68">
        <f t="shared" si="8"/>
        <v>2458.9</v>
      </c>
      <c r="F68">
        <f t="shared" si="9"/>
        <v>3685</v>
      </c>
    </row>
    <row r="69" spans="1:6" x14ac:dyDescent="0.25">
      <c r="A69">
        <v>68</v>
      </c>
      <c r="B69">
        <f t="shared" si="5"/>
        <v>1244.3999999999999</v>
      </c>
      <c r="C69">
        <f t="shared" si="6"/>
        <v>746.63999999999987</v>
      </c>
      <c r="D69">
        <f t="shared" si="7"/>
        <v>497.76</v>
      </c>
      <c r="E69">
        <f t="shared" si="8"/>
        <v>2495.6000000000004</v>
      </c>
      <c r="F69">
        <f t="shared" si="9"/>
        <v>3740</v>
      </c>
    </row>
    <row r="70" spans="1:6" x14ac:dyDescent="0.25">
      <c r="A70">
        <v>69</v>
      </c>
      <c r="B70">
        <f t="shared" si="5"/>
        <v>1262.6999999999998</v>
      </c>
      <c r="C70">
        <f t="shared" si="6"/>
        <v>757.61999999999989</v>
      </c>
      <c r="D70">
        <f t="shared" si="7"/>
        <v>505.07999999999993</v>
      </c>
      <c r="E70">
        <f t="shared" si="8"/>
        <v>2532.3000000000002</v>
      </c>
      <c r="F70">
        <f t="shared" si="9"/>
        <v>3795</v>
      </c>
    </row>
    <row r="71" spans="1:6" x14ac:dyDescent="0.25">
      <c r="A71">
        <v>70</v>
      </c>
      <c r="B71">
        <f t="shared" si="5"/>
        <v>1280.9999999999998</v>
      </c>
      <c r="C71">
        <f t="shared" si="6"/>
        <v>768.5999999999998</v>
      </c>
      <c r="D71">
        <f t="shared" si="7"/>
        <v>512.4</v>
      </c>
      <c r="E71">
        <f t="shared" si="8"/>
        <v>2569</v>
      </c>
      <c r="F71">
        <f t="shared" si="9"/>
        <v>3850</v>
      </c>
    </row>
    <row r="72" spans="1:6" x14ac:dyDescent="0.25">
      <c r="A72">
        <v>71</v>
      </c>
      <c r="B72">
        <f t="shared" si="5"/>
        <v>1299.2999999999997</v>
      </c>
      <c r="C72">
        <f t="shared" si="6"/>
        <v>779.57999999999981</v>
      </c>
      <c r="D72">
        <f t="shared" si="7"/>
        <v>519.71999999999991</v>
      </c>
      <c r="E72">
        <f t="shared" si="8"/>
        <v>2605.7000000000003</v>
      </c>
      <c r="F72">
        <f t="shared" si="9"/>
        <v>3905</v>
      </c>
    </row>
    <row r="73" spans="1:6" x14ac:dyDescent="0.25">
      <c r="A73">
        <v>72</v>
      </c>
      <c r="B73">
        <f t="shared" si="5"/>
        <v>1317.6</v>
      </c>
      <c r="C73">
        <f t="shared" si="6"/>
        <v>790.56</v>
      </c>
      <c r="D73">
        <f t="shared" si="7"/>
        <v>527.04</v>
      </c>
      <c r="E73">
        <f t="shared" si="8"/>
        <v>2642.4</v>
      </c>
      <c r="F73">
        <f t="shared" si="9"/>
        <v>3960</v>
      </c>
    </row>
    <row r="74" spans="1:6" x14ac:dyDescent="0.25">
      <c r="A74">
        <v>73</v>
      </c>
      <c r="B74">
        <f t="shared" si="5"/>
        <v>1335.8999999999999</v>
      </c>
      <c r="C74">
        <f t="shared" si="6"/>
        <v>801.53999999999985</v>
      </c>
      <c r="D74">
        <f t="shared" si="7"/>
        <v>534.36</v>
      </c>
      <c r="E74">
        <f t="shared" si="8"/>
        <v>2679.1000000000004</v>
      </c>
      <c r="F74">
        <f t="shared" si="9"/>
        <v>4015</v>
      </c>
    </row>
    <row r="75" spans="1:6" x14ac:dyDescent="0.25">
      <c r="A75">
        <v>74</v>
      </c>
      <c r="B75">
        <f t="shared" si="5"/>
        <v>1354.1999999999998</v>
      </c>
      <c r="C75">
        <f t="shared" si="6"/>
        <v>812.51999999999987</v>
      </c>
      <c r="D75">
        <f t="shared" si="7"/>
        <v>541.67999999999995</v>
      </c>
      <c r="E75">
        <f t="shared" si="8"/>
        <v>2715.8</v>
      </c>
      <c r="F75">
        <f t="shared" si="9"/>
        <v>4070</v>
      </c>
    </row>
    <row r="76" spans="1:6" x14ac:dyDescent="0.25">
      <c r="A76">
        <v>75</v>
      </c>
      <c r="B76">
        <f t="shared" si="5"/>
        <v>1372.4999999999998</v>
      </c>
      <c r="C76">
        <f t="shared" si="6"/>
        <v>823.49999999999989</v>
      </c>
      <c r="D76">
        <f t="shared" si="7"/>
        <v>548.99999999999989</v>
      </c>
      <c r="E76">
        <f t="shared" si="8"/>
        <v>2752.5</v>
      </c>
      <c r="F76">
        <f t="shared" si="9"/>
        <v>4125</v>
      </c>
    </row>
    <row r="77" spans="1:6" x14ac:dyDescent="0.25">
      <c r="A77">
        <v>76</v>
      </c>
      <c r="B77">
        <f t="shared" si="5"/>
        <v>1390.7999999999997</v>
      </c>
      <c r="C77">
        <f t="shared" si="6"/>
        <v>834.47999999999979</v>
      </c>
      <c r="D77">
        <f t="shared" si="7"/>
        <v>556.31999999999994</v>
      </c>
      <c r="E77">
        <f t="shared" si="8"/>
        <v>2789.2000000000003</v>
      </c>
      <c r="F77">
        <f t="shared" si="9"/>
        <v>4180</v>
      </c>
    </row>
    <row r="78" spans="1:6" x14ac:dyDescent="0.25">
      <c r="A78">
        <v>77</v>
      </c>
      <c r="B78">
        <f t="shared" si="5"/>
        <v>1409.0999999999997</v>
      </c>
      <c r="C78">
        <f t="shared" si="6"/>
        <v>845.45999999999981</v>
      </c>
      <c r="D78">
        <f t="shared" si="7"/>
        <v>563.63999999999987</v>
      </c>
      <c r="E78">
        <f t="shared" si="8"/>
        <v>2825.9</v>
      </c>
      <c r="F78">
        <f t="shared" si="9"/>
        <v>4235</v>
      </c>
    </row>
    <row r="79" spans="1:6" x14ac:dyDescent="0.25">
      <c r="A79">
        <v>78</v>
      </c>
      <c r="B79">
        <f t="shared" si="5"/>
        <v>1427.3999999999999</v>
      </c>
      <c r="C79">
        <f t="shared" si="6"/>
        <v>856.43999999999994</v>
      </c>
      <c r="D79">
        <f t="shared" si="7"/>
        <v>570.95999999999992</v>
      </c>
      <c r="E79">
        <f t="shared" si="8"/>
        <v>2862.6000000000004</v>
      </c>
      <c r="F79">
        <f t="shared" si="9"/>
        <v>4290</v>
      </c>
    </row>
    <row r="80" spans="1:6" x14ac:dyDescent="0.25">
      <c r="A80">
        <v>79</v>
      </c>
      <c r="B80">
        <f t="shared" si="5"/>
        <v>1445.6999999999998</v>
      </c>
      <c r="C80">
        <f t="shared" si="6"/>
        <v>867.41999999999985</v>
      </c>
      <c r="D80">
        <f t="shared" si="7"/>
        <v>578.28</v>
      </c>
      <c r="E80">
        <f t="shared" si="8"/>
        <v>2899.3</v>
      </c>
      <c r="F80">
        <f t="shared" si="9"/>
        <v>4345</v>
      </c>
    </row>
    <row r="81" spans="1:6" x14ac:dyDescent="0.25">
      <c r="A81">
        <v>80</v>
      </c>
      <c r="B81">
        <f t="shared" si="5"/>
        <v>1463.9999999999998</v>
      </c>
      <c r="C81">
        <f t="shared" si="6"/>
        <v>878.39999999999986</v>
      </c>
      <c r="D81">
        <f t="shared" si="7"/>
        <v>585.59999999999991</v>
      </c>
      <c r="E81">
        <f t="shared" si="8"/>
        <v>2936</v>
      </c>
      <c r="F81">
        <f t="shared" si="9"/>
        <v>4400</v>
      </c>
    </row>
    <row r="82" spans="1:6" x14ac:dyDescent="0.25">
      <c r="A82">
        <v>81</v>
      </c>
      <c r="B82">
        <f t="shared" si="5"/>
        <v>1482.2999999999997</v>
      </c>
      <c r="C82">
        <f t="shared" si="6"/>
        <v>889.37999999999977</v>
      </c>
      <c r="D82">
        <f t="shared" si="7"/>
        <v>592.91999999999996</v>
      </c>
      <c r="E82">
        <f t="shared" si="8"/>
        <v>2972.7000000000003</v>
      </c>
      <c r="F82">
        <f t="shared" si="9"/>
        <v>4455</v>
      </c>
    </row>
    <row r="83" spans="1:6" x14ac:dyDescent="0.25">
      <c r="A83">
        <v>82</v>
      </c>
      <c r="B83">
        <f t="shared" si="5"/>
        <v>1500.5999999999997</v>
      </c>
      <c r="C83">
        <f t="shared" si="6"/>
        <v>900.35999999999979</v>
      </c>
      <c r="D83">
        <f t="shared" si="7"/>
        <v>600.2399999999999</v>
      </c>
      <c r="E83">
        <f t="shared" si="8"/>
        <v>3009.4</v>
      </c>
      <c r="F83">
        <f t="shared" si="9"/>
        <v>4510</v>
      </c>
    </row>
    <row r="84" spans="1:6" x14ac:dyDescent="0.25">
      <c r="A84">
        <v>83</v>
      </c>
      <c r="B84">
        <f t="shared" si="5"/>
        <v>1518.8999999999999</v>
      </c>
      <c r="C84">
        <f t="shared" si="6"/>
        <v>911.33999999999992</v>
      </c>
      <c r="D84">
        <f t="shared" si="7"/>
        <v>607.55999999999995</v>
      </c>
      <c r="E84">
        <f t="shared" si="8"/>
        <v>3046.1000000000004</v>
      </c>
      <c r="F84">
        <f t="shared" si="9"/>
        <v>4565</v>
      </c>
    </row>
    <row r="85" spans="1:6" x14ac:dyDescent="0.25">
      <c r="A85">
        <v>84</v>
      </c>
      <c r="B85">
        <f t="shared" si="5"/>
        <v>1537.1999999999998</v>
      </c>
      <c r="C85">
        <f t="shared" si="6"/>
        <v>922.31999999999982</v>
      </c>
      <c r="D85">
        <f t="shared" si="7"/>
        <v>614.88</v>
      </c>
      <c r="E85">
        <f t="shared" si="8"/>
        <v>3082.8</v>
      </c>
      <c r="F85">
        <f t="shared" si="9"/>
        <v>4620</v>
      </c>
    </row>
    <row r="86" spans="1:6" x14ac:dyDescent="0.25">
      <c r="A86">
        <v>85</v>
      </c>
      <c r="B86">
        <f t="shared" si="5"/>
        <v>1555.4999999999998</v>
      </c>
      <c r="C86">
        <f t="shared" si="6"/>
        <v>933.29999999999984</v>
      </c>
      <c r="D86">
        <f t="shared" si="7"/>
        <v>622.19999999999993</v>
      </c>
      <c r="E86">
        <f t="shared" si="8"/>
        <v>3119.5000000000005</v>
      </c>
      <c r="F86">
        <f t="shared" si="9"/>
        <v>4675</v>
      </c>
    </row>
    <row r="87" spans="1:6" x14ac:dyDescent="0.25">
      <c r="A87">
        <v>86</v>
      </c>
      <c r="B87">
        <f t="shared" si="5"/>
        <v>1573.7999999999997</v>
      </c>
      <c r="C87">
        <f t="shared" si="6"/>
        <v>944.27999999999975</v>
      </c>
      <c r="D87">
        <f t="shared" si="7"/>
        <v>629.52</v>
      </c>
      <c r="E87">
        <f t="shared" si="8"/>
        <v>3156.2000000000003</v>
      </c>
      <c r="F87">
        <f t="shared" si="9"/>
        <v>4730</v>
      </c>
    </row>
    <row r="88" spans="1:6" x14ac:dyDescent="0.25">
      <c r="A88">
        <v>87</v>
      </c>
      <c r="B88">
        <f t="shared" si="5"/>
        <v>1592.0999999999997</v>
      </c>
      <c r="C88">
        <f t="shared" si="6"/>
        <v>955.25999999999976</v>
      </c>
      <c r="D88">
        <f t="shared" si="7"/>
        <v>636.83999999999992</v>
      </c>
      <c r="E88">
        <f t="shared" si="8"/>
        <v>3192.9</v>
      </c>
      <c r="F88">
        <f t="shared" si="9"/>
        <v>4785</v>
      </c>
    </row>
    <row r="89" spans="1:6" x14ac:dyDescent="0.25">
      <c r="A89">
        <v>88</v>
      </c>
      <c r="B89">
        <f t="shared" si="5"/>
        <v>1610.3999999999996</v>
      </c>
      <c r="C89">
        <f t="shared" si="6"/>
        <v>966.23999999999978</v>
      </c>
      <c r="D89">
        <f t="shared" si="7"/>
        <v>644.15999999999985</v>
      </c>
      <c r="E89">
        <f t="shared" si="8"/>
        <v>3229.6000000000004</v>
      </c>
      <c r="F89">
        <f t="shared" si="9"/>
        <v>4840</v>
      </c>
    </row>
    <row r="90" spans="1:6" x14ac:dyDescent="0.25">
      <c r="A90">
        <v>89</v>
      </c>
      <c r="B90">
        <f t="shared" si="5"/>
        <v>1628.6999999999998</v>
      </c>
      <c r="C90">
        <f t="shared" si="6"/>
        <v>977.2199999999998</v>
      </c>
      <c r="D90">
        <f t="shared" si="7"/>
        <v>651.48</v>
      </c>
      <c r="E90">
        <f t="shared" si="8"/>
        <v>3266.3</v>
      </c>
      <c r="F90">
        <f t="shared" si="9"/>
        <v>4895</v>
      </c>
    </row>
    <row r="91" spans="1:6" x14ac:dyDescent="0.25">
      <c r="A91">
        <v>90</v>
      </c>
      <c r="B91">
        <f t="shared" si="5"/>
        <v>1646.9999999999998</v>
      </c>
      <c r="C91">
        <f t="shared" si="6"/>
        <v>988.19999999999982</v>
      </c>
      <c r="D91">
        <f t="shared" si="7"/>
        <v>658.8</v>
      </c>
      <c r="E91">
        <f t="shared" si="8"/>
        <v>3303.0000000000005</v>
      </c>
      <c r="F91">
        <f t="shared" si="9"/>
        <v>4950</v>
      </c>
    </row>
    <row r="92" spans="1:6" x14ac:dyDescent="0.25">
      <c r="A92">
        <v>91</v>
      </c>
      <c r="B92">
        <f t="shared" si="5"/>
        <v>1665.2999999999997</v>
      </c>
      <c r="C92">
        <f t="shared" si="6"/>
        <v>999.17999999999984</v>
      </c>
      <c r="D92">
        <f t="shared" si="7"/>
        <v>666.11999999999989</v>
      </c>
      <c r="E92">
        <f t="shared" si="8"/>
        <v>3339.7000000000003</v>
      </c>
      <c r="F92">
        <f t="shared" si="9"/>
        <v>5005</v>
      </c>
    </row>
    <row r="93" spans="1:6" x14ac:dyDescent="0.25">
      <c r="A93">
        <v>92</v>
      </c>
      <c r="B93">
        <f t="shared" si="5"/>
        <v>1683.5999999999997</v>
      </c>
      <c r="C93">
        <f t="shared" si="6"/>
        <v>1010.1599999999997</v>
      </c>
      <c r="D93">
        <f t="shared" si="7"/>
        <v>673.43999999999994</v>
      </c>
      <c r="E93">
        <f t="shared" si="8"/>
        <v>3376.4</v>
      </c>
      <c r="F93">
        <f t="shared" si="9"/>
        <v>5060</v>
      </c>
    </row>
    <row r="94" spans="1:6" x14ac:dyDescent="0.25">
      <c r="A94">
        <v>93</v>
      </c>
      <c r="B94">
        <f t="shared" si="5"/>
        <v>1701.8999999999996</v>
      </c>
      <c r="C94">
        <f t="shared" si="6"/>
        <v>1021.1399999999998</v>
      </c>
      <c r="D94">
        <f t="shared" si="7"/>
        <v>680.75999999999988</v>
      </c>
      <c r="E94">
        <f t="shared" si="8"/>
        <v>3413.1000000000004</v>
      </c>
      <c r="F94">
        <f t="shared" si="9"/>
        <v>5115</v>
      </c>
    </row>
    <row r="95" spans="1:6" x14ac:dyDescent="0.25">
      <c r="A95">
        <v>94</v>
      </c>
      <c r="B95">
        <f t="shared" si="5"/>
        <v>1720.1999999999998</v>
      </c>
      <c r="C95">
        <f t="shared" si="6"/>
        <v>1032.1199999999999</v>
      </c>
      <c r="D95">
        <f t="shared" si="7"/>
        <v>688.07999999999993</v>
      </c>
      <c r="E95">
        <f t="shared" si="8"/>
        <v>3449.8</v>
      </c>
      <c r="F95">
        <f t="shared" si="9"/>
        <v>5170</v>
      </c>
    </row>
    <row r="96" spans="1:6" x14ac:dyDescent="0.25">
      <c r="A96">
        <v>95</v>
      </c>
      <c r="B96">
        <f t="shared" si="5"/>
        <v>1738.4999999999998</v>
      </c>
      <c r="C96">
        <f t="shared" si="6"/>
        <v>1043.0999999999999</v>
      </c>
      <c r="D96">
        <f t="shared" si="7"/>
        <v>695.4</v>
      </c>
      <c r="E96">
        <f t="shared" si="8"/>
        <v>3486.5000000000005</v>
      </c>
      <c r="F96">
        <f t="shared" si="9"/>
        <v>5225</v>
      </c>
    </row>
    <row r="97" spans="1:6" x14ac:dyDescent="0.25">
      <c r="A97">
        <v>96</v>
      </c>
      <c r="B97">
        <f t="shared" si="5"/>
        <v>1756.7999999999997</v>
      </c>
      <c r="C97">
        <f t="shared" si="6"/>
        <v>1054.0799999999997</v>
      </c>
      <c r="D97">
        <f t="shared" si="7"/>
        <v>702.71999999999991</v>
      </c>
      <c r="E97">
        <f t="shared" si="8"/>
        <v>3523.2000000000003</v>
      </c>
      <c r="F97">
        <f t="shared" si="9"/>
        <v>5280</v>
      </c>
    </row>
    <row r="98" spans="1:6" x14ac:dyDescent="0.25">
      <c r="A98">
        <v>97</v>
      </c>
      <c r="B98">
        <f t="shared" si="5"/>
        <v>1775.0999999999997</v>
      </c>
      <c r="C98">
        <f t="shared" si="6"/>
        <v>1065.0599999999997</v>
      </c>
      <c r="D98">
        <f t="shared" si="7"/>
        <v>710.04</v>
      </c>
      <c r="E98">
        <f t="shared" si="8"/>
        <v>3559.9</v>
      </c>
      <c r="F98">
        <f t="shared" si="9"/>
        <v>5335</v>
      </c>
    </row>
    <row r="99" spans="1:6" x14ac:dyDescent="0.25">
      <c r="A99">
        <v>98</v>
      </c>
      <c r="B99">
        <f t="shared" si="5"/>
        <v>1793.3999999999996</v>
      </c>
      <c r="C99">
        <f t="shared" si="6"/>
        <v>1076.0399999999997</v>
      </c>
      <c r="D99">
        <f t="shared" si="7"/>
        <v>717.3599999999999</v>
      </c>
      <c r="E99">
        <f t="shared" si="8"/>
        <v>3596.6000000000004</v>
      </c>
      <c r="F99">
        <f t="shared" si="9"/>
        <v>5390</v>
      </c>
    </row>
    <row r="100" spans="1:6" x14ac:dyDescent="0.25">
      <c r="A100">
        <v>99</v>
      </c>
      <c r="B100">
        <f t="shared" si="5"/>
        <v>1811.6999999999998</v>
      </c>
      <c r="C100">
        <f t="shared" si="6"/>
        <v>1087.0199999999998</v>
      </c>
      <c r="D100">
        <f t="shared" si="7"/>
        <v>724.68</v>
      </c>
      <c r="E100">
        <f t="shared" si="8"/>
        <v>3633.3</v>
      </c>
      <c r="F100">
        <f t="shared" si="9"/>
        <v>5445</v>
      </c>
    </row>
    <row r="101" spans="1:6" x14ac:dyDescent="0.25">
      <c r="A101">
        <v>100</v>
      </c>
      <c r="B101">
        <f t="shared" si="5"/>
        <v>1829.9999999999998</v>
      </c>
      <c r="C101">
        <f t="shared" si="6"/>
        <v>1097.9999999999998</v>
      </c>
      <c r="D101">
        <f t="shared" si="7"/>
        <v>732</v>
      </c>
      <c r="E101">
        <f t="shared" si="8"/>
        <v>3670.0000000000005</v>
      </c>
      <c r="F101">
        <f t="shared" si="9"/>
        <v>5500</v>
      </c>
    </row>
    <row r="102" spans="1:6" x14ac:dyDescent="0.25">
      <c r="A102">
        <v>101</v>
      </c>
      <c r="B102">
        <f t="shared" si="5"/>
        <v>1848.2999999999997</v>
      </c>
      <c r="C102">
        <f t="shared" si="6"/>
        <v>1108.9799999999998</v>
      </c>
      <c r="D102">
        <f t="shared" si="7"/>
        <v>739.31999999999994</v>
      </c>
      <c r="E102">
        <f t="shared" si="8"/>
        <v>3706.7000000000003</v>
      </c>
      <c r="F102">
        <f t="shared" si="9"/>
        <v>5555</v>
      </c>
    </row>
    <row r="103" spans="1:6" x14ac:dyDescent="0.25">
      <c r="A103">
        <v>102</v>
      </c>
      <c r="B103">
        <f t="shared" si="5"/>
        <v>1866.5999999999997</v>
      </c>
      <c r="C103">
        <f t="shared" si="6"/>
        <v>1119.9599999999998</v>
      </c>
      <c r="D103">
        <f t="shared" si="7"/>
        <v>746.63999999999987</v>
      </c>
      <c r="E103">
        <f t="shared" si="8"/>
        <v>3743.4</v>
      </c>
      <c r="F103">
        <f t="shared" si="9"/>
        <v>5610</v>
      </c>
    </row>
    <row r="104" spans="1:6" x14ac:dyDescent="0.25">
      <c r="A104">
        <v>103</v>
      </c>
      <c r="B104">
        <f t="shared" si="5"/>
        <v>1884.8999999999996</v>
      </c>
      <c r="C104">
        <f t="shared" si="6"/>
        <v>1130.9399999999998</v>
      </c>
      <c r="D104">
        <f t="shared" si="7"/>
        <v>753.95999999999992</v>
      </c>
      <c r="E104">
        <f t="shared" si="8"/>
        <v>3780.1000000000004</v>
      </c>
      <c r="F104">
        <f t="shared" si="9"/>
        <v>5665</v>
      </c>
    </row>
    <row r="105" spans="1:6" x14ac:dyDescent="0.25">
      <c r="A105">
        <v>104</v>
      </c>
      <c r="B105">
        <f t="shared" si="5"/>
        <v>1903.1999999999998</v>
      </c>
      <c r="C105">
        <f t="shared" si="6"/>
        <v>1141.9199999999998</v>
      </c>
      <c r="D105">
        <f t="shared" si="7"/>
        <v>761.28</v>
      </c>
      <c r="E105">
        <f t="shared" si="8"/>
        <v>3816.8</v>
      </c>
      <c r="F105">
        <f t="shared" si="9"/>
        <v>5720</v>
      </c>
    </row>
    <row r="106" spans="1:6" x14ac:dyDescent="0.25">
      <c r="A106">
        <v>105</v>
      </c>
      <c r="B106">
        <f t="shared" si="5"/>
        <v>1921.4999999999998</v>
      </c>
      <c r="C106">
        <f t="shared" si="6"/>
        <v>1152.8999999999999</v>
      </c>
      <c r="D106">
        <f t="shared" si="7"/>
        <v>768.59999999999991</v>
      </c>
      <c r="E106">
        <f t="shared" si="8"/>
        <v>3853.5000000000005</v>
      </c>
      <c r="F106">
        <f t="shared" si="9"/>
        <v>5775</v>
      </c>
    </row>
    <row r="107" spans="1:6" x14ac:dyDescent="0.25">
      <c r="A107">
        <v>106</v>
      </c>
      <c r="B107">
        <f t="shared" si="5"/>
        <v>1939.7999999999997</v>
      </c>
      <c r="C107">
        <f t="shared" si="6"/>
        <v>1163.8799999999999</v>
      </c>
      <c r="D107">
        <f t="shared" si="7"/>
        <v>775.92</v>
      </c>
      <c r="E107">
        <f t="shared" si="8"/>
        <v>3890.2000000000003</v>
      </c>
      <c r="F107">
        <f t="shared" si="9"/>
        <v>5830</v>
      </c>
    </row>
    <row r="108" spans="1:6" x14ac:dyDescent="0.25">
      <c r="A108">
        <v>107</v>
      </c>
      <c r="B108">
        <f t="shared" si="5"/>
        <v>1958.0999999999997</v>
      </c>
      <c r="C108">
        <f t="shared" si="6"/>
        <v>1174.8599999999997</v>
      </c>
      <c r="D108">
        <f t="shared" si="7"/>
        <v>783.2399999999999</v>
      </c>
      <c r="E108">
        <f t="shared" si="8"/>
        <v>3926.9</v>
      </c>
      <c r="F108">
        <f t="shared" si="9"/>
        <v>5885</v>
      </c>
    </row>
    <row r="109" spans="1:6" x14ac:dyDescent="0.25">
      <c r="A109">
        <v>108</v>
      </c>
      <c r="B109">
        <f t="shared" si="5"/>
        <v>1976.3999999999996</v>
      </c>
      <c r="C109">
        <f t="shared" si="6"/>
        <v>1185.8399999999997</v>
      </c>
      <c r="D109">
        <f t="shared" si="7"/>
        <v>790.56</v>
      </c>
      <c r="E109">
        <f t="shared" si="8"/>
        <v>3963.6000000000004</v>
      </c>
      <c r="F109">
        <f t="shared" si="9"/>
        <v>5940</v>
      </c>
    </row>
    <row r="110" spans="1:6" x14ac:dyDescent="0.25">
      <c r="A110">
        <v>109</v>
      </c>
      <c r="B110">
        <f t="shared" si="5"/>
        <v>1994.6999999999996</v>
      </c>
      <c r="C110">
        <f t="shared" si="6"/>
        <v>1196.8199999999997</v>
      </c>
      <c r="D110">
        <f t="shared" si="7"/>
        <v>797.87999999999988</v>
      </c>
      <c r="E110">
        <f t="shared" si="8"/>
        <v>4000.3</v>
      </c>
      <c r="F110">
        <f t="shared" si="9"/>
        <v>5995</v>
      </c>
    </row>
    <row r="111" spans="1:6" x14ac:dyDescent="0.25">
      <c r="A111">
        <v>110</v>
      </c>
      <c r="B111">
        <f t="shared" si="5"/>
        <v>2012.9999999999998</v>
      </c>
      <c r="C111">
        <f t="shared" si="6"/>
        <v>1207.7999999999997</v>
      </c>
      <c r="D111">
        <f t="shared" si="7"/>
        <v>805.19999999999993</v>
      </c>
      <c r="E111">
        <f t="shared" si="8"/>
        <v>4037.0000000000005</v>
      </c>
      <c r="F111">
        <f t="shared" si="9"/>
        <v>6050</v>
      </c>
    </row>
    <row r="112" spans="1:6" x14ac:dyDescent="0.25">
      <c r="A112">
        <v>111</v>
      </c>
      <c r="B112">
        <f t="shared" si="5"/>
        <v>2031.2999999999997</v>
      </c>
      <c r="C112">
        <f t="shared" si="6"/>
        <v>1218.7799999999997</v>
      </c>
      <c r="D112">
        <f t="shared" si="7"/>
        <v>812.52</v>
      </c>
      <c r="E112">
        <f t="shared" si="8"/>
        <v>4073.7000000000003</v>
      </c>
      <c r="F112">
        <f t="shared" si="9"/>
        <v>6105</v>
      </c>
    </row>
    <row r="113" spans="1:6" x14ac:dyDescent="0.25">
      <c r="A113">
        <v>112</v>
      </c>
      <c r="B113">
        <f t="shared" si="5"/>
        <v>2049.5999999999995</v>
      </c>
      <c r="C113">
        <f t="shared" si="6"/>
        <v>1229.7599999999995</v>
      </c>
      <c r="D113">
        <f t="shared" si="7"/>
        <v>819.8399999999998</v>
      </c>
      <c r="E113">
        <f t="shared" si="8"/>
        <v>4110.4000000000005</v>
      </c>
      <c r="F113">
        <f t="shared" si="9"/>
        <v>6160</v>
      </c>
    </row>
    <row r="114" spans="1:6" x14ac:dyDescent="0.25">
      <c r="A114">
        <v>113</v>
      </c>
      <c r="B114">
        <f t="shared" si="5"/>
        <v>2067.8999999999996</v>
      </c>
      <c r="C114">
        <f t="shared" si="6"/>
        <v>1240.7399999999998</v>
      </c>
      <c r="D114">
        <f t="shared" si="7"/>
        <v>827.15999999999985</v>
      </c>
      <c r="E114">
        <f t="shared" si="8"/>
        <v>4147.1000000000004</v>
      </c>
      <c r="F114">
        <f t="shared" si="9"/>
        <v>6215</v>
      </c>
    </row>
    <row r="115" spans="1:6" x14ac:dyDescent="0.25">
      <c r="A115">
        <v>114</v>
      </c>
      <c r="B115">
        <f t="shared" si="5"/>
        <v>2086.1999999999998</v>
      </c>
      <c r="C115">
        <f t="shared" si="6"/>
        <v>1251.7199999999998</v>
      </c>
      <c r="D115">
        <f t="shared" si="7"/>
        <v>834.48</v>
      </c>
      <c r="E115">
        <f t="shared" si="8"/>
        <v>4183.8</v>
      </c>
      <c r="F115">
        <f t="shared" si="9"/>
        <v>6270</v>
      </c>
    </row>
    <row r="116" spans="1:6" x14ac:dyDescent="0.25">
      <c r="A116">
        <v>115</v>
      </c>
      <c r="B116">
        <f t="shared" si="5"/>
        <v>2104.4999999999995</v>
      </c>
      <c r="C116">
        <f t="shared" si="6"/>
        <v>1262.6999999999996</v>
      </c>
      <c r="D116">
        <f t="shared" si="7"/>
        <v>841.79999999999984</v>
      </c>
      <c r="E116">
        <f t="shared" si="8"/>
        <v>4220.5</v>
      </c>
      <c r="F116">
        <f t="shared" si="9"/>
        <v>6325</v>
      </c>
    </row>
    <row r="117" spans="1:6" x14ac:dyDescent="0.25">
      <c r="A117">
        <v>116</v>
      </c>
      <c r="B117">
        <f t="shared" si="5"/>
        <v>2122.7999999999997</v>
      </c>
      <c r="C117">
        <f t="shared" si="6"/>
        <v>1273.6799999999998</v>
      </c>
      <c r="D117">
        <f t="shared" si="7"/>
        <v>849.11999999999989</v>
      </c>
      <c r="E117">
        <f t="shared" si="8"/>
        <v>4257.2000000000007</v>
      </c>
      <c r="F117">
        <f t="shared" si="9"/>
        <v>6380</v>
      </c>
    </row>
    <row r="118" spans="1:6" x14ac:dyDescent="0.25">
      <c r="A118">
        <v>117</v>
      </c>
      <c r="B118">
        <f t="shared" si="5"/>
        <v>2141.0999999999995</v>
      </c>
      <c r="C118">
        <f t="shared" si="6"/>
        <v>1284.6599999999996</v>
      </c>
      <c r="D118">
        <f t="shared" si="7"/>
        <v>856.43999999999983</v>
      </c>
      <c r="E118">
        <f t="shared" si="8"/>
        <v>4293.9000000000005</v>
      </c>
      <c r="F118">
        <f t="shared" si="9"/>
        <v>6435</v>
      </c>
    </row>
    <row r="119" spans="1:6" x14ac:dyDescent="0.25">
      <c r="A119">
        <v>118</v>
      </c>
      <c r="B119">
        <f t="shared" si="5"/>
        <v>2159.3999999999996</v>
      </c>
      <c r="C119">
        <f t="shared" si="6"/>
        <v>1295.6399999999996</v>
      </c>
      <c r="D119">
        <f t="shared" si="7"/>
        <v>863.75999999999988</v>
      </c>
      <c r="E119">
        <f t="shared" si="8"/>
        <v>4330.6000000000004</v>
      </c>
      <c r="F119">
        <f t="shared" si="9"/>
        <v>6490</v>
      </c>
    </row>
    <row r="120" spans="1:6" x14ac:dyDescent="0.25">
      <c r="A120">
        <v>119</v>
      </c>
      <c r="B120">
        <f t="shared" si="5"/>
        <v>2177.6999999999998</v>
      </c>
      <c r="C120">
        <f t="shared" si="6"/>
        <v>1306.6199999999999</v>
      </c>
      <c r="D120">
        <f t="shared" si="7"/>
        <v>871.07999999999993</v>
      </c>
      <c r="E120">
        <f t="shared" si="8"/>
        <v>4367.3</v>
      </c>
      <c r="F120">
        <f t="shared" si="9"/>
        <v>6545</v>
      </c>
    </row>
    <row r="121" spans="1:6" x14ac:dyDescent="0.25">
      <c r="A121">
        <v>120</v>
      </c>
      <c r="B121">
        <f t="shared" si="5"/>
        <v>2195.9999999999995</v>
      </c>
      <c r="C121">
        <f t="shared" si="6"/>
        <v>1317.5999999999997</v>
      </c>
      <c r="D121">
        <f t="shared" si="7"/>
        <v>878.39999999999986</v>
      </c>
      <c r="E121">
        <f t="shared" si="8"/>
        <v>4404</v>
      </c>
      <c r="F121">
        <f t="shared" si="9"/>
        <v>6600</v>
      </c>
    </row>
    <row r="122" spans="1:6" x14ac:dyDescent="0.25">
      <c r="A122">
        <v>121</v>
      </c>
      <c r="B122">
        <f t="shared" si="5"/>
        <v>2214.2999999999997</v>
      </c>
      <c r="C122">
        <f t="shared" si="6"/>
        <v>1328.5799999999997</v>
      </c>
      <c r="D122">
        <f t="shared" si="7"/>
        <v>885.71999999999991</v>
      </c>
      <c r="E122">
        <f t="shared" si="8"/>
        <v>4440.7000000000007</v>
      </c>
      <c r="F122">
        <f t="shared" si="9"/>
        <v>6655</v>
      </c>
    </row>
    <row r="123" spans="1:6" x14ac:dyDescent="0.25">
      <c r="A123">
        <v>122</v>
      </c>
      <c r="B123">
        <f t="shared" si="5"/>
        <v>2232.5999999999995</v>
      </c>
      <c r="C123">
        <f t="shared" si="6"/>
        <v>1339.5599999999997</v>
      </c>
      <c r="D123">
        <f t="shared" si="7"/>
        <v>893.03999999999985</v>
      </c>
      <c r="E123">
        <f t="shared" si="8"/>
        <v>4477.4000000000005</v>
      </c>
      <c r="F123">
        <f t="shared" si="9"/>
        <v>6710</v>
      </c>
    </row>
    <row r="124" spans="1:6" x14ac:dyDescent="0.25">
      <c r="A124">
        <v>123</v>
      </c>
      <c r="B124">
        <f t="shared" si="5"/>
        <v>2250.8999999999996</v>
      </c>
      <c r="C124">
        <f t="shared" si="6"/>
        <v>1350.5399999999997</v>
      </c>
      <c r="D124">
        <f t="shared" si="7"/>
        <v>900.3599999999999</v>
      </c>
      <c r="E124">
        <f t="shared" si="8"/>
        <v>4514.1000000000004</v>
      </c>
      <c r="F124">
        <f t="shared" si="9"/>
        <v>6765</v>
      </c>
    </row>
    <row r="125" spans="1:6" x14ac:dyDescent="0.25">
      <c r="A125">
        <v>124</v>
      </c>
      <c r="B125">
        <f t="shared" si="5"/>
        <v>2269.1999999999998</v>
      </c>
      <c r="C125">
        <f t="shared" si="6"/>
        <v>1361.5199999999998</v>
      </c>
      <c r="D125">
        <f t="shared" si="7"/>
        <v>907.68</v>
      </c>
      <c r="E125">
        <f t="shared" si="8"/>
        <v>4550.8</v>
      </c>
      <c r="F125">
        <f t="shared" si="9"/>
        <v>6820</v>
      </c>
    </row>
    <row r="126" spans="1:6" x14ac:dyDescent="0.25">
      <c r="A126">
        <v>125</v>
      </c>
      <c r="B126">
        <f t="shared" si="5"/>
        <v>2287.4999999999995</v>
      </c>
      <c r="C126">
        <f t="shared" si="6"/>
        <v>1372.4999999999998</v>
      </c>
      <c r="D126">
        <f t="shared" si="7"/>
        <v>914.99999999999989</v>
      </c>
      <c r="E126">
        <f t="shared" si="8"/>
        <v>4587.5</v>
      </c>
      <c r="F126">
        <f t="shared" si="9"/>
        <v>6875</v>
      </c>
    </row>
    <row r="127" spans="1:6" x14ac:dyDescent="0.25">
      <c r="A127">
        <v>126</v>
      </c>
      <c r="B127">
        <f t="shared" si="5"/>
        <v>2305.7999999999997</v>
      </c>
      <c r="C127">
        <f t="shared" si="6"/>
        <v>1383.4799999999998</v>
      </c>
      <c r="D127">
        <f t="shared" si="7"/>
        <v>922.31999999999994</v>
      </c>
      <c r="E127">
        <f t="shared" si="8"/>
        <v>4624.2000000000007</v>
      </c>
      <c r="F127">
        <f t="shared" si="9"/>
        <v>6930</v>
      </c>
    </row>
    <row r="128" spans="1:6" x14ac:dyDescent="0.25">
      <c r="A128">
        <v>127</v>
      </c>
      <c r="B128">
        <f t="shared" si="5"/>
        <v>2324.0999999999995</v>
      </c>
      <c r="C128">
        <f t="shared" si="6"/>
        <v>1394.4599999999996</v>
      </c>
      <c r="D128">
        <f t="shared" si="7"/>
        <v>929.63999999999987</v>
      </c>
      <c r="E128">
        <f t="shared" si="8"/>
        <v>4660.9000000000005</v>
      </c>
      <c r="F128">
        <f t="shared" si="9"/>
        <v>6985</v>
      </c>
    </row>
    <row r="129" spans="1:6" x14ac:dyDescent="0.25">
      <c r="A129">
        <v>128</v>
      </c>
      <c r="B129">
        <f t="shared" si="5"/>
        <v>2342.3999999999996</v>
      </c>
      <c r="C129">
        <f t="shared" si="6"/>
        <v>1405.4399999999998</v>
      </c>
      <c r="D129">
        <f t="shared" si="7"/>
        <v>936.95999999999992</v>
      </c>
      <c r="E129">
        <f t="shared" si="8"/>
        <v>4697.6000000000004</v>
      </c>
      <c r="F129">
        <f t="shared" si="9"/>
        <v>7040</v>
      </c>
    </row>
    <row r="130" spans="1:6" x14ac:dyDescent="0.25">
      <c r="A130">
        <v>129</v>
      </c>
      <c r="B130">
        <f t="shared" si="5"/>
        <v>2360.6999999999998</v>
      </c>
      <c r="C130">
        <f t="shared" si="6"/>
        <v>1416.4199999999998</v>
      </c>
      <c r="D130">
        <f t="shared" si="7"/>
        <v>944.28</v>
      </c>
      <c r="E130">
        <f t="shared" si="8"/>
        <v>4734.3</v>
      </c>
      <c r="F130">
        <f t="shared" si="9"/>
        <v>7095</v>
      </c>
    </row>
    <row r="131" spans="1:6" x14ac:dyDescent="0.25">
      <c r="A131">
        <v>130</v>
      </c>
      <c r="B131">
        <f t="shared" ref="B131:B194" si="10">$L$2*A131</f>
        <v>2378.9999999999995</v>
      </c>
      <c r="C131">
        <f t="shared" ref="C131:C194" si="11">B131*0.6</f>
        <v>1427.3999999999996</v>
      </c>
      <c r="D131">
        <f t="shared" ref="D131:D194" si="12">B131*0.4</f>
        <v>951.59999999999991</v>
      </c>
      <c r="E131">
        <f t="shared" ref="E131:E194" si="13">$J$2*A131</f>
        <v>4771</v>
      </c>
      <c r="F131">
        <f t="shared" ref="F131:F194" si="14">E131+B131</f>
        <v>7150</v>
      </c>
    </row>
    <row r="132" spans="1:6" x14ac:dyDescent="0.25">
      <c r="A132">
        <v>131</v>
      </c>
      <c r="B132">
        <f t="shared" si="10"/>
        <v>2397.2999999999997</v>
      </c>
      <c r="C132">
        <f t="shared" si="11"/>
        <v>1438.3799999999999</v>
      </c>
      <c r="D132">
        <f t="shared" si="12"/>
        <v>958.92</v>
      </c>
      <c r="E132">
        <f t="shared" si="13"/>
        <v>4807.7000000000007</v>
      </c>
      <c r="F132">
        <f t="shared" si="14"/>
        <v>7205</v>
      </c>
    </row>
    <row r="133" spans="1:6" x14ac:dyDescent="0.25">
      <c r="A133">
        <v>132</v>
      </c>
      <c r="B133">
        <f t="shared" si="10"/>
        <v>2415.5999999999995</v>
      </c>
      <c r="C133">
        <f t="shared" si="11"/>
        <v>1449.3599999999997</v>
      </c>
      <c r="D133">
        <f t="shared" si="12"/>
        <v>966.23999999999978</v>
      </c>
      <c r="E133">
        <f t="shared" si="13"/>
        <v>4844.4000000000005</v>
      </c>
      <c r="F133">
        <f t="shared" si="14"/>
        <v>7260</v>
      </c>
    </row>
    <row r="134" spans="1:6" x14ac:dyDescent="0.25">
      <c r="A134">
        <v>133</v>
      </c>
      <c r="B134">
        <f t="shared" si="10"/>
        <v>2433.8999999999996</v>
      </c>
      <c r="C134">
        <f t="shared" si="11"/>
        <v>1460.3399999999997</v>
      </c>
      <c r="D134">
        <f t="shared" si="12"/>
        <v>973.56</v>
      </c>
      <c r="E134">
        <f t="shared" si="13"/>
        <v>4881.1000000000004</v>
      </c>
      <c r="F134">
        <f t="shared" si="14"/>
        <v>7315</v>
      </c>
    </row>
    <row r="135" spans="1:6" x14ac:dyDescent="0.25">
      <c r="A135">
        <v>134</v>
      </c>
      <c r="B135">
        <f t="shared" si="10"/>
        <v>2452.1999999999998</v>
      </c>
      <c r="C135">
        <f t="shared" si="11"/>
        <v>1471.32</v>
      </c>
      <c r="D135">
        <f t="shared" si="12"/>
        <v>980.88</v>
      </c>
      <c r="E135">
        <f t="shared" si="13"/>
        <v>4917.8</v>
      </c>
      <c r="F135">
        <f t="shared" si="14"/>
        <v>7370</v>
      </c>
    </row>
    <row r="136" spans="1:6" x14ac:dyDescent="0.25">
      <c r="A136">
        <v>135</v>
      </c>
      <c r="B136">
        <f t="shared" si="10"/>
        <v>2470.4999999999995</v>
      </c>
      <c r="C136">
        <f t="shared" si="11"/>
        <v>1482.2999999999997</v>
      </c>
      <c r="D136">
        <f t="shared" si="12"/>
        <v>988.19999999999982</v>
      </c>
      <c r="E136">
        <f t="shared" si="13"/>
        <v>4954.5</v>
      </c>
      <c r="F136">
        <f t="shared" si="14"/>
        <v>7425</v>
      </c>
    </row>
    <row r="137" spans="1:6" x14ac:dyDescent="0.25">
      <c r="A137">
        <v>136</v>
      </c>
      <c r="B137">
        <f t="shared" si="10"/>
        <v>2488.7999999999997</v>
      </c>
      <c r="C137">
        <f t="shared" si="11"/>
        <v>1493.2799999999997</v>
      </c>
      <c r="D137">
        <f t="shared" si="12"/>
        <v>995.52</v>
      </c>
      <c r="E137">
        <f t="shared" si="13"/>
        <v>4991.2000000000007</v>
      </c>
      <c r="F137">
        <f t="shared" si="14"/>
        <v>7480</v>
      </c>
    </row>
    <row r="138" spans="1:6" x14ac:dyDescent="0.25">
      <c r="A138">
        <v>137</v>
      </c>
      <c r="B138">
        <f t="shared" si="10"/>
        <v>2507.0999999999995</v>
      </c>
      <c r="C138">
        <f t="shared" si="11"/>
        <v>1504.2599999999995</v>
      </c>
      <c r="D138">
        <f t="shared" si="12"/>
        <v>1002.8399999999998</v>
      </c>
      <c r="E138">
        <f t="shared" si="13"/>
        <v>5027.9000000000005</v>
      </c>
      <c r="F138">
        <f t="shared" si="14"/>
        <v>7535</v>
      </c>
    </row>
    <row r="139" spans="1:6" x14ac:dyDescent="0.25">
      <c r="A139">
        <v>138</v>
      </c>
      <c r="B139">
        <f t="shared" si="10"/>
        <v>2525.3999999999996</v>
      </c>
      <c r="C139">
        <f t="shared" si="11"/>
        <v>1515.2399999999998</v>
      </c>
      <c r="D139">
        <f t="shared" si="12"/>
        <v>1010.1599999999999</v>
      </c>
      <c r="E139">
        <f t="shared" si="13"/>
        <v>5064.6000000000004</v>
      </c>
      <c r="F139">
        <f t="shared" si="14"/>
        <v>7590</v>
      </c>
    </row>
    <row r="140" spans="1:6" x14ac:dyDescent="0.25">
      <c r="A140">
        <v>139</v>
      </c>
      <c r="B140">
        <f t="shared" si="10"/>
        <v>2543.6999999999998</v>
      </c>
      <c r="C140">
        <f t="shared" si="11"/>
        <v>1526.2199999999998</v>
      </c>
      <c r="D140">
        <f t="shared" si="12"/>
        <v>1017.48</v>
      </c>
      <c r="E140">
        <f t="shared" si="13"/>
        <v>5101.3</v>
      </c>
      <c r="F140">
        <f t="shared" si="14"/>
        <v>7645</v>
      </c>
    </row>
    <row r="141" spans="1:6" x14ac:dyDescent="0.25">
      <c r="A141">
        <v>140</v>
      </c>
      <c r="B141">
        <f t="shared" si="10"/>
        <v>2561.9999999999995</v>
      </c>
      <c r="C141">
        <f t="shared" si="11"/>
        <v>1537.1999999999996</v>
      </c>
      <c r="D141">
        <f t="shared" si="12"/>
        <v>1024.8</v>
      </c>
      <c r="E141">
        <f t="shared" si="13"/>
        <v>5138</v>
      </c>
      <c r="F141">
        <f t="shared" si="14"/>
        <v>7700</v>
      </c>
    </row>
    <row r="142" spans="1:6" x14ac:dyDescent="0.25">
      <c r="A142">
        <v>141</v>
      </c>
      <c r="B142">
        <f t="shared" si="10"/>
        <v>2580.2999999999997</v>
      </c>
      <c r="C142">
        <f t="shared" si="11"/>
        <v>1548.1799999999998</v>
      </c>
      <c r="D142">
        <f t="shared" si="12"/>
        <v>1032.1199999999999</v>
      </c>
      <c r="E142">
        <f t="shared" si="13"/>
        <v>5174.7000000000007</v>
      </c>
      <c r="F142">
        <f t="shared" si="14"/>
        <v>7755</v>
      </c>
    </row>
    <row r="143" spans="1:6" x14ac:dyDescent="0.25">
      <c r="A143">
        <v>142</v>
      </c>
      <c r="B143">
        <f t="shared" si="10"/>
        <v>2598.5999999999995</v>
      </c>
      <c r="C143">
        <f t="shared" si="11"/>
        <v>1559.1599999999996</v>
      </c>
      <c r="D143">
        <f t="shared" si="12"/>
        <v>1039.4399999999998</v>
      </c>
      <c r="E143">
        <f t="shared" si="13"/>
        <v>5211.4000000000005</v>
      </c>
      <c r="F143">
        <f t="shared" si="14"/>
        <v>7810</v>
      </c>
    </row>
    <row r="144" spans="1:6" x14ac:dyDescent="0.25">
      <c r="A144">
        <v>143</v>
      </c>
      <c r="B144">
        <f t="shared" si="10"/>
        <v>2616.8999999999996</v>
      </c>
      <c r="C144">
        <f t="shared" si="11"/>
        <v>1570.1399999999996</v>
      </c>
      <c r="D144">
        <f t="shared" si="12"/>
        <v>1046.76</v>
      </c>
      <c r="E144">
        <f t="shared" si="13"/>
        <v>5248.1</v>
      </c>
      <c r="F144">
        <f t="shared" si="14"/>
        <v>7865</v>
      </c>
    </row>
    <row r="145" spans="1:6" x14ac:dyDescent="0.25">
      <c r="A145">
        <v>144</v>
      </c>
      <c r="B145">
        <f t="shared" si="10"/>
        <v>2635.2</v>
      </c>
      <c r="C145">
        <f t="shared" si="11"/>
        <v>1581.12</v>
      </c>
      <c r="D145">
        <f t="shared" si="12"/>
        <v>1054.08</v>
      </c>
      <c r="E145">
        <f t="shared" si="13"/>
        <v>5284.8</v>
      </c>
      <c r="F145">
        <f t="shared" si="14"/>
        <v>7920</v>
      </c>
    </row>
    <row r="146" spans="1:6" x14ac:dyDescent="0.25">
      <c r="A146">
        <v>145</v>
      </c>
      <c r="B146">
        <f t="shared" si="10"/>
        <v>2653.4999999999995</v>
      </c>
      <c r="C146">
        <f t="shared" si="11"/>
        <v>1592.0999999999997</v>
      </c>
      <c r="D146">
        <f t="shared" si="12"/>
        <v>1061.3999999999999</v>
      </c>
      <c r="E146">
        <f t="shared" si="13"/>
        <v>5321.5</v>
      </c>
      <c r="F146">
        <f t="shared" si="14"/>
        <v>7975</v>
      </c>
    </row>
    <row r="147" spans="1:6" x14ac:dyDescent="0.25">
      <c r="A147">
        <v>146</v>
      </c>
      <c r="B147">
        <f t="shared" si="10"/>
        <v>2671.7999999999997</v>
      </c>
      <c r="C147">
        <f t="shared" si="11"/>
        <v>1603.0799999999997</v>
      </c>
      <c r="D147">
        <f t="shared" si="12"/>
        <v>1068.72</v>
      </c>
      <c r="E147">
        <f t="shared" si="13"/>
        <v>5358.2000000000007</v>
      </c>
      <c r="F147">
        <f t="shared" si="14"/>
        <v>8030</v>
      </c>
    </row>
    <row r="148" spans="1:6" x14ac:dyDescent="0.25">
      <c r="A148">
        <v>147</v>
      </c>
      <c r="B148">
        <f t="shared" si="10"/>
        <v>2690.0999999999995</v>
      </c>
      <c r="C148">
        <f t="shared" si="11"/>
        <v>1614.0599999999997</v>
      </c>
      <c r="D148">
        <f t="shared" si="12"/>
        <v>1076.0399999999997</v>
      </c>
      <c r="E148">
        <f t="shared" si="13"/>
        <v>5394.9000000000005</v>
      </c>
      <c r="F148">
        <f t="shared" si="14"/>
        <v>8085</v>
      </c>
    </row>
    <row r="149" spans="1:6" x14ac:dyDescent="0.25">
      <c r="A149">
        <v>148</v>
      </c>
      <c r="B149">
        <f t="shared" si="10"/>
        <v>2708.3999999999996</v>
      </c>
      <c r="C149">
        <f t="shared" si="11"/>
        <v>1625.0399999999997</v>
      </c>
      <c r="D149">
        <f t="shared" si="12"/>
        <v>1083.3599999999999</v>
      </c>
      <c r="E149">
        <f t="shared" si="13"/>
        <v>5431.6</v>
      </c>
      <c r="F149">
        <f t="shared" si="14"/>
        <v>8140</v>
      </c>
    </row>
    <row r="150" spans="1:6" x14ac:dyDescent="0.25">
      <c r="A150">
        <v>149</v>
      </c>
      <c r="B150">
        <f t="shared" si="10"/>
        <v>2726.6999999999994</v>
      </c>
      <c r="C150">
        <f t="shared" si="11"/>
        <v>1636.0199999999995</v>
      </c>
      <c r="D150">
        <f t="shared" si="12"/>
        <v>1090.6799999999998</v>
      </c>
      <c r="E150">
        <f t="shared" si="13"/>
        <v>5468.3</v>
      </c>
      <c r="F150">
        <f t="shared" si="14"/>
        <v>8195</v>
      </c>
    </row>
    <row r="151" spans="1:6" x14ac:dyDescent="0.25">
      <c r="A151">
        <v>150</v>
      </c>
      <c r="B151">
        <f t="shared" si="10"/>
        <v>2744.9999999999995</v>
      </c>
      <c r="C151">
        <f t="shared" si="11"/>
        <v>1646.9999999999998</v>
      </c>
      <c r="D151">
        <f t="shared" si="12"/>
        <v>1097.9999999999998</v>
      </c>
      <c r="E151">
        <f t="shared" si="13"/>
        <v>5505</v>
      </c>
      <c r="F151">
        <f t="shared" si="14"/>
        <v>8250</v>
      </c>
    </row>
    <row r="152" spans="1:6" x14ac:dyDescent="0.25">
      <c r="A152">
        <v>151</v>
      </c>
      <c r="B152">
        <f t="shared" si="10"/>
        <v>2763.2999999999997</v>
      </c>
      <c r="C152">
        <f t="shared" si="11"/>
        <v>1657.9799999999998</v>
      </c>
      <c r="D152">
        <f t="shared" si="12"/>
        <v>1105.32</v>
      </c>
      <c r="E152">
        <f t="shared" si="13"/>
        <v>5541.7000000000007</v>
      </c>
      <c r="F152">
        <f t="shared" si="14"/>
        <v>8305</v>
      </c>
    </row>
    <row r="153" spans="1:6" x14ac:dyDescent="0.25">
      <c r="A153">
        <v>152</v>
      </c>
      <c r="B153">
        <f t="shared" si="10"/>
        <v>2781.5999999999995</v>
      </c>
      <c r="C153">
        <f t="shared" si="11"/>
        <v>1668.9599999999996</v>
      </c>
      <c r="D153">
        <f t="shared" si="12"/>
        <v>1112.6399999999999</v>
      </c>
      <c r="E153">
        <f t="shared" si="13"/>
        <v>5578.4000000000005</v>
      </c>
      <c r="F153">
        <f t="shared" si="14"/>
        <v>8360</v>
      </c>
    </row>
    <row r="154" spans="1:6" x14ac:dyDescent="0.25">
      <c r="A154">
        <v>153</v>
      </c>
      <c r="B154">
        <f t="shared" si="10"/>
        <v>2799.8999999999996</v>
      </c>
      <c r="C154">
        <f t="shared" si="11"/>
        <v>1679.9399999999998</v>
      </c>
      <c r="D154">
        <f t="shared" si="12"/>
        <v>1119.9599999999998</v>
      </c>
      <c r="E154">
        <f t="shared" si="13"/>
        <v>5615.1</v>
      </c>
      <c r="F154">
        <f t="shared" si="14"/>
        <v>8415</v>
      </c>
    </row>
    <row r="155" spans="1:6" x14ac:dyDescent="0.25">
      <c r="A155">
        <v>154</v>
      </c>
      <c r="B155">
        <f t="shared" si="10"/>
        <v>2818.1999999999994</v>
      </c>
      <c r="C155">
        <f t="shared" si="11"/>
        <v>1690.9199999999996</v>
      </c>
      <c r="D155">
        <f t="shared" si="12"/>
        <v>1127.2799999999997</v>
      </c>
      <c r="E155">
        <f t="shared" si="13"/>
        <v>5651.8</v>
      </c>
      <c r="F155">
        <f t="shared" si="14"/>
        <v>8470</v>
      </c>
    </row>
    <row r="156" spans="1:6" x14ac:dyDescent="0.25">
      <c r="A156">
        <v>155</v>
      </c>
      <c r="B156">
        <f t="shared" si="10"/>
        <v>2836.4999999999995</v>
      </c>
      <c r="C156">
        <f t="shared" si="11"/>
        <v>1701.8999999999996</v>
      </c>
      <c r="D156">
        <f t="shared" si="12"/>
        <v>1134.5999999999999</v>
      </c>
      <c r="E156">
        <f t="shared" si="13"/>
        <v>5688.5</v>
      </c>
      <c r="F156">
        <f t="shared" si="14"/>
        <v>8525</v>
      </c>
    </row>
    <row r="157" spans="1:6" x14ac:dyDescent="0.25">
      <c r="A157">
        <v>156</v>
      </c>
      <c r="B157">
        <f t="shared" si="10"/>
        <v>2854.7999999999997</v>
      </c>
      <c r="C157">
        <f t="shared" si="11"/>
        <v>1712.8799999999999</v>
      </c>
      <c r="D157">
        <f t="shared" si="12"/>
        <v>1141.9199999999998</v>
      </c>
      <c r="E157">
        <f t="shared" si="13"/>
        <v>5725.2000000000007</v>
      </c>
      <c r="F157">
        <f t="shared" si="14"/>
        <v>8580</v>
      </c>
    </row>
    <row r="158" spans="1:6" x14ac:dyDescent="0.25">
      <c r="A158">
        <v>157</v>
      </c>
      <c r="B158">
        <f t="shared" si="10"/>
        <v>2873.0999999999995</v>
      </c>
      <c r="C158">
        <f t="shared" si="11"/>
        <v>1723.8599999999997</v>
      </c>
      <c r="D158">
        <f t="shared" si="12"/>
        <v>1149.2399999999998</v>
      </c>
      <c r="E158">
        <f t="shared" si="13"/>
        <v>5761.9000000000005</v>
      </c>
      <c r="F158">
        <f t="shared" si="14"/>
        <v>8635</v>
      </c>
    </row>
    <row r="159" spans="1:6" x14ac:dyDescent="0.25">
      <c r="A159">
        <v>158</v>
      </c>
      <c r="B159">
        <f t="shared" si="10"/>
        <v>2891.3999999999996</v>
      </c>
      <c r="C159">
        <f t="shared" si="11"/>
        <v>1734.8399999999997</v>
      </c>
      <c r="D159">
        <f t="shared" si="12"/>
        <v>1156.56</v>
      </c>
      <c r="E159">
        <f t="shared" si="13"/>
        <v>5798.6</v>
      </c>
      <c r="F159">
        <f t="shared" si="14"/>
        <v>8690</v>
      </c>
    </row>
    <row r="160" spans="1:6" x14ac:dyDescent="0.25">
      <c r="A160">
        <v>159</v>
      </c>
      <c r="B160">
        <f t="shared" si="10"/>
        <v>2909.6999999999994</v>
      </c>
      <c r="C160">
        <f t="shared" si="11"/>
        <v>1745.8199999999995</v>
      </c>
      <c r="D160">
        <f t="shared" si="12"/>
        <v>1163.8799999999999</v>
      </c>
      <c r="E160">
        <f t="shared" si="13"/>
        <v>5835.3</v>
      </c>
      <c r="F160">
        <f t="shared" si="14"/>
        <v>8745</v>
      </c>
    </row>
    <row r="161" spans="1:6" x14ac:dyDescent="0.25">
      <c r="A161">
        <v>160</v>
      </c>
      <c r="B161">
        <f t="shared" si="10"/>
        <v>2927.9999999999995</v>
      </c>
      <c r="C161">
        <f t="shared" si="11"/>
        <v>1756.7999999999997</v>
      </c>
      <c r="D161">
        <f t="shared" si="12"/>
        <v>1171.1999999999998</v>
      </c>
      <c r="E161">
        <f t="shared" si="13"/>
        <v>5872</v>
      </c>
      <c r="F161">
        <f t="shared" si="14"/>
        <v>8800</v>
      </c>
    </row>
    <row r="162" spans="1:6" x14ac:dyDescent="0.25">
      <c r="A162">
        <v>161</v>
      </c>
      <c r="B162">
        <f t="shared" si="10"/>
        <v>2946.2999999999997</v>
      </c>
      <c r="C162">
        <f t="shared" si="11"/>
        <v>1767.7799999999997</v>
      </c>
      <c r="D162">
        <f t="shared" si="12"/>
        <v>1178.52</v>
      </c>
      <c r="E162">
        <f t="shared" si="13"/>
        <v>5908.7000000000007</v>
      </c>
      <c r="F162">
        <f t="shared" si="14"/>
        <v>8855</v>
      </c>
    </row>
    <row r="163" spans="1:6" x14ac:dyDescent="0.25">
      <c r="A163">
        <v>162</v>
      </c>
      <c r="B163">
        <f t="shared" si="10"/>
        <v>2964.5999999999995</v>
      </c>
      <c r="C163">
        <f t="shared" si="11"/>
        <v>1778.7599999999995</v>
      </c>
      <c r="D163">
        <f t="shared" si="12"/>
        <v>1185.8399999999999</v>
      </c>
      <c r="E163">
        <f t="shared" si="13"/>
        <v>5945.4000000000005</v>
      </c>
      <c r="F163">
        <f t="shared" si="14"/>
        <v>8910</v>
      </c>
    </row>
    <row r="164" spans="1:6" x14ac:dyDescent="0.25">
      <c r="A164">
        <v>163</v>
      </c>
      <c r="B164">
        <f t="shared" si="10"/>
        <v>2982.8999999999996</v>
      </c>
      <c r="C164">
        <f t="shared" si="11"/>
        <v>1789.7399999999998</v>
      </c>
      <c r="D164">
        <f t="shared" si="12"/>
        <v>1193.1599999999999</v>
      </c>
      <c r="E164">
        <f t="shared" si="13"/>
        <v>5982.1</v>
      </c>
      <c r="F164">
        <f t="shared" si="14"/>
        <v>8965</v>
      </c>
    </row>
    <row r="165" spans="1:6" x14ac:dyDescent="0.25">
      <c r="A165">
        <v>164</v>
      </c>
      <c r="B165">
        <f t="shared" si="10"/>
        <v>3001.1999999999994</v>
      </c>
      <c r="C165">
        <f t="shared" si="11"/>
        <v>1800.7199999999996</v>
      </c>
      <c r="D165">
        <f t="shared" si="12"/>
        <v>1200.4799999999998</v>
      </c>
      <c r="E165">
        <f t="shared" si="13"/>
        <v>6018.8</v>
      </c>
      <c r="F165">
        <f t="shared" si="14"/>
        <v>9020</v>
      </c>
    </row>
    <row r="166" spans="1:6" x14ac:dyDescent="0.25">
      <c r="A166">
        <v>165</v>
      </c>
      <c r="B166">
        <f t="shared" si="10"/>
        <v>3019.4999999999995</v>
      </c>
      <c r="C166">
        <f t="shared" si="11"/>
        <v>1811.6999999999996</v>
      </c>
      <c r="D166">
        <f t="shared" si="12"/>
        <v>1207.8</v>
      </c>
      <c r="E166">
        <f t="shared" si="13"/>
        <v>6055.5000000000009</v>
      </c>
      <c r="F166">
        <f t="shared" si="14"/>
        <v>9075</v>
      </c>
    </row>
    <row r="167" spans="1:6" x14ac:dyDescent="0.25">
      <c r="A167">
        <v>166</v>
      </c>
      <c r="B167">
        <f t="shared" si="10"/>
        <v>3037.7999999999997</v>
      </c>
      <c r="C167">
        <f t="shared" si="11"/>
        <v>1822.6799999999998</v>
      </c>
      <c r="D167">
        <f t="shared" si="12"/>
        <v>1215.1199999999999</v>
      </c>
      <c r="E167">
        <f t="shared" si="13"/>
        <v>6092.2000000000007</v>
      </c>
      <c r="F167">
        <f t="shared" si="14"/>
        <v>9130</v>
      </c>
    </row>
    <row r="168" spans="1:6" x14ac:dyDescent="0.25">
      <c r="A168">
        <v>167</v>
      </c>
      <c r="B168">
        <f t="shared" si="10"/>
        <v>3056.0999999999995</v>
      </c>
      <c r="C168">
        <f t="shared" si="11"/>
        <v>1833.6599999999996</v>
      </c>
      <c r="D168">
        <f t="shared" si="12"/>
        <v>1222.4399999999998</v>
      </c>
      <c r="E168">
        <f t="shared" si="13"/>
        <v>6128.9000000000005</v>
      </c>
      <c r="F168">
        <f t="shared" si="14"/>
        <v>9185</v>
      </c>
    </row>
    <row r="169" spans="1:6" x14ac:dyDescent="0.25">
      <c r="A169">
        <v>168</v>
      </c>
      <c r="B169">
        <f t="shared" si="10"/>
        <v>3074.3999999999996</v>
      </c>
      <c r="C169">
        <f t="shared" si="11"/>
        <v>1844.6399999999996</v>
      </c>
      <c r="D169">
        <f t="shared" si="12"/>
        <v>1229.76</v>
      </c>
      <c r="E169">
        <f t="shared" si="13"/>
        <v>6165.6</v>
      </c>
      <c r="F169">
        <f t="shared" si="14"/>
        <v>9240</v>
      </c>
    </row>
    <row r="170" spans="1:6" x14ac:dyDescent="0.25">
      <c r="A170">
        <v>169</v>
      </c>
      <c r="B170">
        <f t="shared" si="10"/>
        <v>3092.6999999999994</v>
      </c>
      <c r="C170">
        <f t="shared" si="11"/>
        <v>1855.6199999999994</v>
      </c>
      <c r="D170">
        <f t="shared" si="12"/>
        <v>1237.08</v>
      </c>
      <c r="E170">
        <f t="shared" si="13"/>
        <v>6202.3</v>
      </c>
      <c r="F170">
        <f t="shared" si="14"/>
        <v>9295</v>
      </c>
    </row>
    <row r="171" spans="1:6" x14ac:dyDescent="0.25">
      <c r="A171">
        <v>170</v>
      </c>
      <c r="B171">
        <f t="shared" si="10"/>
        <v>3110.9999999999995</v>
      </c>
      <c r="C171">
        <f t="shared" si="11"/>
        <v>1866.5999999999997</v>
      </c>
      <c r="D171">
        <f t="shared" si="12"/>
        <v>1244.3999999999999</v>
      </c>
      <c r="E171">
        <f t="shared" si="13"/>
        <v>6239.0000000000009</v>
      </c>
      <c r="F171">
        <f t="shared" si="14"/>
        <v>9350</v>
      </c>
    </row>
    <row r="172" spans="1:6" x14ac:dyDescent="0.25">
      <c r="A172">
        <v>171</v>
      </c>
      <c r="B172">
        <f t="shared" si="10"/>
        <v>3129.2999999999997</v>
      </c>
      <c r="C172">
        <f t="shared" si="11"/>
        <v>1877.5799999999997</v>
      </c>
      <c r="D172">
        <f t="shared" si="12"/>
        <v>1251.72</v>
      </c>
      <c r="E172">
        <f t="shared" si="13"/>
        <v>6275.7000000000007</v>
      </c>
      <c r="F172">
        <f t="shared" si="14"/>
        <v>9405</v>
      </c>
    </row>
    <row r="173" spans="1:6" x14ac:dyDescent="0.25">
      <c r="A173">
        <v>172</v>
      </c>
      <c r="B173">
        <f t="shared" si="10"/>
        <v>3147.5999999999995</v>
      </c>
      <c r="C173">
        <f t="shared" si="11"/>
        <v>1888.5599999999995</v>
      </c>
      <c r="D173">
        <f t="shared" si="12"/>
        <v>1259.04</v>
      </c>
      <c r="E173">
        <f t="shared" si="13"/>
        <v>6312.4000000000005</v>
      </c>
      <c r="F173">
        <f t="shared" si="14"/>
        <v>9460</v>
      </c>
    </row>
    <row r="174" spans="1:6" x14ac:dyDescent="0.25">
      <c r="A174">
        <v>173</v>
      </c>
      <c r="B174">
        <f t="shared" si="10"/>
        <v>3165.8999999999996</v>
      </c>
      <c r="C174">
        <f t="shared" si="11"/>
        <v>1899.5399999999997</v>
      </c>
      <c r="D174">
        <f t="shared" si="12"/>
        <v>1266.3599999999999</v>
      </c>
      <c r="E174">
        <f t="shared" si="13"/>
        <v>6349.1</v>
      </c>
      <c r="F174">
        <f t="shared" si="14"/>
        <v>9515</v>
      </c>
    </row>
    <row r="175" spans="1:6" x14ac:dyDescent="0.25">
      <c r="A175">
        <v>174</v>
      </c>
      <c r="B175">
        <f t="shared" si="10"/>
        <v>3184.1999999999994</v>
      </c>
      <c r="C175">
        <f t="shared" si="11"/>
        <v>1910.5199999999995</v>
      </c>
      <c r="D175">
        <f t="shared" si="12"/>
        <v>1273.6799999999998</v>
      </c>
      <c r="E175">
        <f t="shared" si="13"/>
        <v>6385.8</v>
      </c>
      <c r="F175">
        <f t="shared" si="14"/>
        <v>9570</v>
      </c>
    </row>
    <row r="176" spans="1:6" x14ac:dyDescent="0.25">
      <c r="A176">
        <v>175</v>
      </c>
      <c r="B176">
        <f t="shared" si="10"/>
        <v>3202.4999999999995</v>
      </c>
      <c r="C176">
        <f t="shared" si="11"/>
        <v>1921.4999999999995</v>
      </c>
      <c r="D176">
        <f t="shared" si="12"/>
        <v>1281</v>
      </c>
      <c r="E176">
        <f t="shared" si="13"/>
        <v>6422.5000000000009</v>
      </c>
      <c r="F176">
        <f t="shared" si="14"/>
        <v>9625</v>
      </c>
    </row>
    <row r="177" spans="1:6" x14ac:dyDescent="0.25">
      <c r="A177">
        <v>176</v>
      </c>
      <c r="B177">
        <f t="shared" si="10"/>
        <v>3220.7999999999993</v>
      </c>
      <c r="C177">
        <f t="shared" si="11"/>
        <v>1932.4799999999996</v>
      </c>
      <c r="D177">
        <f t="shared" si="12"/>
        <v>1288.3199999999997</v>
      </c>
      <c r="E177">
        <f t="shared" si="13"/>
        <v>6459.2000000000007</v>
      </c>
      <c r="F177">
        <f t="shared" si="14"/>
        <v>9680</v>
      </c>
    </row>
    <row r="178" spans="1:6" x14ac:dyDescent="0.25">
      <c r="A178">
        <v>177</v>
      </c>
      <c r="B178">
        <f t="shared" si="10"/>
        <v>3239.0999999999995</v>
      </c>
      <c r="C178">
        <f t="shared" si="11"/>
        <v>1943.4599999999996</v>
      </c>
      <c r="D178">
        <f t="shared" si="12"/>
        <v>1295.6399999999999</v>
      </c>
      <c r="E178">
        <f t="shared" si="13"/>
        <v>6495.9000000000005</v>
      </c>
      <c r="F178">
        <f t="shared" si="14"/>
        <v>9735</v>
      </c>
    </row>
    <row r="179" spans="1:6" x14ac:dyDescent="0.25">
      <c r="A179">
        <v>178</v>
      </c>
      <c r="B179">
        <f t="shared" si="10"/>
        <v>3257.3999999999996</v>
      </c>
      <c r="C179">
        <f t="shared" si="11"/>
        <v>1954.4399999999996</v>
      </c>
      <c r="D179">
        <f t="shared" si="12"/>
        <v>1302.96</v>
      </c>
      <c r="E179">
        <f t="shared" si="13"/>
        <v>6532.6</v>
      </c>
      <c r="F179">
        <f t="shared" si="14"/>
        <v>9790</v>
      </c>
    </row>
    <row r="180" spans="1:6" x14ac:dyDescent="0.25">
      <c r="A180">
        <v>179</v>
      </c>
      <c r="B180">
        <f t="shared" si="10"/>
        <v>3275.6999999999994</v>
      </c>
      <c r="C180">
        <f t="shared" si="11"/>
        <v>1965.4199999999996</v>
      </c>
      <c r="D180">
        <f t="shared" si="12"/>
        <v>1310.2799999999997</v>
      </c>
      <c r="E180">
        <f t="shared" si="13"/>
        <v>6569.3</v>
      </c>
      <c r="F180">
        <f t="shared" si="14"/>
        <v>9845</v>
      </c>
    </row>
    <row r="181" spans="1:6" x14ac:dyDescent="0.25">
      <c r="A181">
        <v>180</v>
      </c>
      <c r="B181">
        <f t="shared" si="10"/>
        <v>3293.9999999999995</v>
      </c>
      <c r="C181">
        <f t="shared" si="11"/>
        <v>1976.3999999999996</v>
      </c>
      <c r="D181">
        <f t="shared" si="12"/>
        <v>1317.6</v>
      </c>
      <c r="E181">
        <f t="shared" si="13"/>
        <v>6606.0000000000009</v>
      </c>
      <c r="F181">
        <f t="shared" si="14"/>
        <v>9900</v>
      </c>
    </row>
    <row r="182" spans="1:6" x14ac:dyDescent="0.25">
      <c r="A182">
        <v>181</v>
      </c>
      <c r="B182">
        <f t="shared" si="10"/>
        <v>3312.2999999999993</v>
      </c>
      <c r="C182">
        <f t="shared" si="11"/>
        <v>1987.3799999999994</v>
      </c>
      <c r="D182">
        <f t="shared" si="12"/>
        <v>1324.9199999999998</v>
      </c>
      <c r="E182">
        <f t="shared" si="13"/>
        <v>6642.7000000000007</v>
      </c>
      <c r="F182">
        <f t="shared" si="14"/>
        <v>9955</v>
      </c>
    </row>
    <row r="183" spans="1:6" x14ac:dyDescent="0.25">
      <c r="A183">
        <v>182</v>
      </c>
      <c r="B183">
        <f t="shared" si="10"/>
        <v>3330.5999999999995</v>
      </c>
      <c r="C183">
        <f t="shared" si="11"/>
        <v>1998.3599999999997</v>
      </c>
      <c r="D183">
        <f t="shared" si="12"/>
        <v>1332.2399999999998</v>
      </c>
      <c r="E183">
        <f t="shared" si="13"/>
        <v>6679.4000000000005</v>
      </c>
      <c r="F183">
        <f t="shared" si="14"/>
        <v>10010</v>
      </c>
    </row>
    <row r="184" spans="1:6" x14ac:dyDescent="0.25">
      <c r="A184">
        <v>183</v>
      </c>
      <c r="B184">
        <f t="shared" si="10"/>
        <v>3348.8999999999996</v>
      </c>
      <c r="C184">
        <f t="shared" si="11"/>
        <v>2009.3399999999997</v>
      </c>
      <c r="D184">
        <f t="shared" si="12"/>
        <v>1339.56</v>
      </c>
      <c r="E184">
        <f t="shared" si="13"/>
        <v>6716.1</v>
      </c>
      <c r="F184">
        <f t="shared" si="14"/>
        <v>10065</v>
      </c>
    </row>
    <row r="185" spans="1:6" x14ac:dyDescent="0.25">
      <c r="A185">
        <v>184</v>
      </c>
      <c r="B185">
        <f t="shared" si="10"/>
        <v>3367.1999999999994</v>
      </c>
      <c r="C185">
        <f t="shared" si="11"/>
        <v>2020.3199999999995</v>
      </c>
      <c r="D185">
        <f t="shared" si="12"/>
        <v>1346.8799999999999</v>
      </c>
      <c r="E185">
        <f t="shared" si="13"/>
        <v>6752.8</v>
      </c>
      <c r="F185">
        <f t="shared" si="14"/>
        <v>10120</v>
      </c>
    </row>
    <row r="186" spans="1:6" x14ac:dyDescent="0.25">
      <c r="A186">
        <v>185</v>
      </c>
      <c r="B186">
        <f t="shared" si="10"/>
        <v>3385.4999999999995</v>
      </c>
      <c r="C186">
        <f t="shared" si="11"/>
        <v>2031.2999999999997</v>
      </c>
      <c r="D186">
        <f t="shared" si="12"/>
        <v>1354.1999999999998</v>
      </c>
      <c r="E186">
        <f t="shared" si="13"/>
        <v>6789.5000000000009</v>
      </c>
      <c r="F186">
        <f t="shared" si="14"/>
        <v>10175</v>
      </c>
    </row>
    <row r="187" spans="1:6" x14ac:dyDescent="0.25">
      <c r="A187">
        <v>186</v>
      </c>
      <c r="B187">
        <f t="shared" si="10"/>
        <v>3403.7999999999993</v>
      </c>
      <c r="C187">
        <f t="shared" si="11"/>
        <v>2042.2799999999995</v>
      </c>
      <c r="D187">
        <f t="shared" si="12"/>
        <v>1361.5199999999998</v>
      </c>
      <c r="E187">
        <f t="shared" si="13"/>
        <v>6826.2000000000007</v>
      </c>
      <c r="F187">
        <f t="shared" si="14"/>
        <v>10230</v>
      </c>
    </row>
    <row r="188" spans="1:6" x14ac:dyDescent="0.25">
      <c r="A188">
        <v>187</v>
      </c>
      <c r="B188">
        <f t="shared" si="10"/>
        <v>3422.0999999999995</v>
      </c>
      <c r="C188">
        <f t="shared" si="11"/>
        <v>2053.2599999999998</v>
      </c>
      <c r="D188">
        <f t="shared" si="12"/>
        <v>1368.84</v>
      </c>
      <c r="E188">
        <f t="shared" si="13"/>
        <v>6862.9000000000005</v>
      </c>
      <c r="F188">
        <f t="shared" si="14"/>
        <v>10285</v>
      </c>
    </row>
    <row r="189" spans="1:6" x14ac:dyDescent="0.25">
      <c r="A189">
        <v>188</v>
      </c>
      <c r="B189">
        <f t="shared" si="10"/>
        <v>3440.3999999999996</v>
      </c>
      <c r="C189">
        <f t="shared" si="11"/>
        <v>2064.2399999999998</v>
      </c>
      <c r="D189">
        <f t="shared" si="12"/>
        <v>1376.1599999999999</v>
      </c>
      <c r="E189">
        <f t="shared" si="13"/>
        <v>6899.6</v>
      </c>
      <c r="F189">
        <f t="shared" si="14"/>
        <v>10340</v>
      </c>
    </row>
    <row r="190" spans="1:6" x14ac:dyDescent="0.25">
      <c r="A190">
        <v>189</v>
      </c>
      <c r="B190">
        <f t="shared" si="10"/>
        <v>3458.6999999999994</v>
      </c>
      <c r="C190">
        <f t="shared" si="11"/>
        <v>2075.2199999999993</v>
      </c>
      <c r="D190">
        <f t="shared" si="12"/>
        <v>1383.4799999999998</v>
      </c>
      <c r="E190">
        <f t="shared" si="13"/>
        <v>6936.3</v>
      </c>
      <c r="F190">
        <f t="shared" si="14"/>
        <v>10395</v>
      </c>
    </row>
    <row r="191" spans="1:6" x14ac:dyDescent="0.25">
      <c r="A191">
        <v>190</v>
      </c>
      <c r="B191">
        <f t="shared" si="10"/>
        <v>3476.9999999999995</v>
      </c>
      <c r="C191">
        <f t="shared" si="11"/>
        <v>2086.1999999999998</v>
      </c>
      <c r="D191">
        <f t="shared" si="12"/>
        <v>1390.8</v>
      </c>
      <c r="E191">
        <f t="shared" si="13"/>
        <v>6973.0000000000009</v>
      </c>
      <c r="F191">
        <f t="shared" si="14"/>
        <v>10450</v>
      </c>
    </row>
    <row r="192" spans="1:6" x14ac:dyDescent="0.25">
      <c r="A192">
        <v>191</v>
      </c>
      <c r="B192">
        <f t="shared" si="10"/>
        <v>3495.2999999999993</v>
      </c>
      <c r="C192">
        <f t="shared" si="11"/>
        <v>2097.1799999999994</v>
      </c>
      <c r="D192">
        <f t="shared" si="12"/>
        <v>1398.12</v>
      </c>
      <c r="E192">
        <f t="shared" si="13"/>
        <v>7009.7000000000007</v>
      </c>
      <c r="F192">
        <f t="shared" si="14"/>
        <v>10505</v>
      </c>
    </row>
    <row r="193" spans="1:6" x14ac:dyDescent="0.25">
      <c r="A193">
        <v>192</v>
      </c>
      <c r="B193">
        <f t="shared" si="10"/>
        <v>3513.5999999999995</v>
      </c>
      <c r="C193">
        <f t="shared" si="11"/>
        <v>2108.1599999999994</v>
      </c>
      <c r="D193">
        <f t="shared" si="12"/>
        <v>1405.4399999999998</v>
      </c>
      <c r="E193">
        <f t="shared" si="13"/>
        <v>7046.4000000000005</v>
      </c>
      <c r="F193">
        <f t="shared" si="14"/>
        <v>10560</v>
      </c>
    </row>
    <row r="194" spans="1:6" x14ac:dyDescent="0.25">
      <c r="A194">
        <v>193</v>
      </c>
      <c r="B194">
        <f t="shared" si="10"/>
        <v>3531.8999999999996</v>
      </c>
      <c r="C194">
        <f t="shared" si="11"/>
        <v>2119.14</v>
      </c>
      <c r="D194">
        <f t="shared" si="12"/>
        <v>1412.76</v>
      </c>
      <c r="E194">
        <f t="shared" si="13"/>
        <v>7083.1</v>
      </c>
      <c r="F194">
        <f t="shared" si="14"/>
        <v>10615</v>
      </c>
    </row>
    <row r="195" spans="1:6" x14ac:dyDescent="0.25">
      <c r="A195">
        <v>194</v>
      </c>
      <c r="B195">
        <f t="shared" ref="B195:B258" si="15">$L$2*A195</f>
        <v>3550.1999999999994</v>
      </c>
      <c r="C195">
        <f t="shared" ref="C195:C258" si="16">B195*0.6</f>
        <v>2130.1199999999994</v>
      </c>
      <c r="D195">
        <f t="shared" ref="D195:D258" si="17">B195*0.4</f>
        <v>1420.08</v>
      </c>
      <c r="E195">
        <f t="shared" ref="E195:E258" si="18">$J$2*A195</f>
        <v>7119.8</v>
      </c>
      <c r="F195">
        <f t="shared" ref="F195:F258" si="19">E195+B195</f>
        <v>10670</v>
      </c>
    </row>
    <row r="196" spans="1:6" x14ac:dyDescent="0.25">
      <c r="A196">
        <v>195</v>
      </c>
      <c r="B196">
        <f t="shared" si="15"/>
        <v>3568.4999999999995</v>
      </c>
      <c r="C196">
        <f t="shared" si="16"/>
        <v>2141.0999999999995</v>
      </c>
      <c r="D196">
        <f t="shared" si="17"/>
        <v>1427.3999999999999</v>
      </c>
      <c r="E196">
        <f t="shared" si="18"/>
        <v>7156.5000000000009</v>
      </c>
      <c r="F196">
        <f t="shared" si="19"/>
        <v>10725</v>
      </c>
    </row>
    <row r="197" spans="1:6" x14ac:dyDescent="0.25">
      <c r="A197">
        <v>196</v>
      </c>
      <c r="B197">
        <f t="shared" si="15"/>
        <v>3586.7999999999993</v>
      </c>
      <c r="C197">
        <f t="shared" si="16"/>
        <v>2152.0799999999995</v>
      </c>
      <c r="D197">
        <f t="shared" si="17"/>
        <v>1434.7199999999998</v>
      </c>
      <c r="E197">
        <f t="shared" si="18"/>
        <v>7193.2000000000007</v>
      </c>
      <c r="F197">
        <f t="shared" si="19"/>
        <v>10780</v>
      </c>
    </row>
    <row r="198" spans="1:6" x14ac:dyDescent="0.25">
      <c r="A198">
        <v>197</v>
      </c>
      <c r="B198">
        <f t="shared" si="15"/>
        <v>3605.0999999999995</v>
      </c>
      <c r="C198">
        <f t="shared" si="16"/>
        <v>2163.0599999999995</v>
      </c>
      <c r="D198">
        <f t="shared" si="17"/>
        <v>1442.04</v>
      </c>
      <c r="E198">
        <f t="shared" si="18"/>
        <v>7229.9000000000005</v>
      </c>
      <c r="F198">
        <f t="shared" si="19"/>
        <v>10835</v>
      </c>
    </row>
    <row r="199" spans="1:6" x14ac:dyDescent="0.25">
      <c r="A199">
        <v>198</v>
      </c>
      <c r="B199">
        <f t="shared" si="15"/>
        <v>3623.3999999999996</v>
      </c>
      <c r="C199">
        <f t="shared" si="16"/>
        <v>2174.0399999999995</v>
      </c>
      <c r="D199">
        <f t="shared" si="17"/>
        <v>1449.36</v>
      </c>
      <c r="E199">
        <f t="shared" si="18"/>
        <v>7266.6</v>
      </c>
      <c r="F199">
        <f t="shared" si="19"/>
        <v>10890</v>
      </c>
    </row>
    <row r="200" spans="1:6" x14ac:dyDescent="0.25">
      <c r="A200">
        <v>199</v>
      </c>
      <c r="B200">
        <f t="shared" si="15"/>
        <v>3641.6999999999994</v>
      </c>
      <c r="C200">
        <f t="shared" si="16"/>
        <v>2185.0199999999995</v>
      </c>
      <c r="D200">
        <f t="shared" si="17"/>
        <v>1456.6799999999998</v>
      </c>
      <c r="E200">
        <f t="shared" si="18"/>
        <v>7303.3</v>
      </c>
      <c r="F200">
        <f t="shared" si="19"/>
        <v>10945</v>
      </c>
    </row>
    <row r="201" spans="1:6" x14ac:dyDescent="0.25">
      <c r="A201">
        <v>200</v>
      </c>
      <c r="B201">
        <f t="shared" si="15"/>
        <v>3659.9999999999995</v>
      </c>
      <c r="C201">
        <f t="shared" si="16"/>
        <v>2195.9999999999995</v>
      </c>
      <c r="D201">
        <f t="shared" si="17"/>
        <v>1464</v>
      </c>
      <c r="E201">
        <f t="shared" si="18"/>
        <v>7340.0000000000009</v>
      </c>
      <c r="F201">
        <f t="shared" si="19"/>
        <v>11000</v>
      </c>
    </row>
    <row r="202" spans="1:6" x14ac:dyDescent="0.25">
      <c r="A202">
        <v>201</v>
      </c>
      <c r="B202">
        <f t="shared" si="15"/>
        <v>3678.2999999999993</v>
      </c>
      <c r="C202">
        <f t="shared" si="16"/>
        <v>2206.9799999999996</v>
      </c>
      <c r="D202">
        <f t="shared" si="17"/>
        <v>1471.3199999999997</v>
      </c>
      <c r="E202">
        <f t="shared" si="18"/>
        <v>7376.7000000000007</v>
      </c>
      <c r="F202">
        <f t="shared" si="19"/>
        <v>11055</v>
      </c>
    </row>
    <row r="203" spans="1:6" x14ac:dyDescent="0.25">
      <c r="A203">
        <v>202</v>
      </c>
      <c r="B203">
        <f t="shared" si="15"/>
        <v>3696.5999999999995</v>
      </c>
      <c r="C203">
        <f t="shared" si="16"/>
        <v>2217.9599999999996</v>
      </c>
      <c r="D203">
        <f t="shared" si="17"/>
        <v>1478.6399999999999</v>
      </c>
      <c r="E203">
        <f t="shared" si="18"/>
        <v>7413.4000000000005</v>
      </c>
      <c r="F203">
        <f t="shared" si="19"/>
        <v>11110</v>
      </c>
    </row>
    <row r="204" spans="1:6" x14ac:dyDescent="0.25">
      <c r="A204">
        <v>203</v>
      </c>
      <c r="B204">
        <f t="shared" si="15"/>
        <v>3714.8999999999996</v>
      </c>
      <c r="C204">
        <f t="shared" si="16"/>
        <v>2228.9399999999996</v>
      </c>
      <c r="D204">
        <f t="shared" si="17"/>
        <v>1485.96</v>
      </c>
      <c r="E204">
        <f t="shared" si="18"/>
        <v>7450.1</v>
      </c>
      <c r="F204">
        <f t="shared" si="19"/>
        <v>11165</v>
      </c>
    </row>
    <row r="205" spans="1:6" x14ac:dyDescent="0.25">
      <c r="A205">
        <v>204</v>
      </c>
      <c r="B205">
        <f t="shared" si="15"/>
        <v>3733.1999999999994</v>
      </c>
      <c r="C205">
        <f t="shared" si="16"/>
        <v>2239.9199999999996</v>
      </c>
      <c r="D205">
        <f t="shared" si="17"/>
        <v>1493.2799999999997</v>
      </c>
      <c r="E205">
        <f t="shared" si="18"/>
        <v>7486.8</v>
      </c>
      <c r="F205">
        <f t="shared" si="19"/>
        <v>11220</v>
      </c>
    </row>
    <row r="206" spans="1:6" x14ac:dyDescent="0.25">
      <c r="A206">
        <v>205</v>
      </c>
      <c r="B206">
        <f t="shared" si="15"/>
        <v>3751.4999999999995</v>
      </c>
      <c r="C206">
        <f t="shared" si="16"/>
        <v>2250.8999999999996</v>
      </c>
      <c r="D206">
        <f t="shared" si="17"/>
        <v>1500.6</v>
      </c>
      <c r="E206">
        <f t="shared" si="18"/>
        <v>7523.5000000000009</v>
      </c>
      <c r="F206">
        <f t="shared" si="19"/>
        <v>11275</v>
      </c>
    </row>
    <row r="207" spans="1:6" x14ac:dyDescent="0.25">
      <c r="A207">
        <v>206</v>
      </c>
      <c r="B207">
        <f t="shared" si="15"/>
        <v>3769.7999999999993</v>
      </c>
      <c r="C207">
        <f t="shared" si="16"/>
        <v>2261.8799999999997</v>
      </c>
      <c r="D207">
        <f t="shared" si="17"/>
        <v>1507.9199999999998</v>
      </c>
      <c r="E207">
        <f t="shared" si="18"/>
        <v>7560.2000000000007</v>
      </c>
      <c r="F207">
        <f t="shared" si="19"/>
        <v>11330</v>
      </c>
    </row>
    <row r="208" spans="1:6" x14ac:dyDescent="0.25">
      <c r="A208">
        <v>207</v>
      </c>
      <c r="B208">
        <f t="shared" si="15"/>
        <v>3788.0999999999995</v>
      </c>
      <c r="C208">
        <f t="shared" si="16"/>
        <v>2272.8599999999997</v>
      </c>
      <c r="D208">
        <f t="shared" si="17"/>
        <v>1515.2399999999998</v>
      </c>
      <c r="E208">
        <f t="shared" si="18"/>
        <v>7596.9000000000005</v>
      </c>
      <c r="F208">
        <f t="shared" si="19"/>
        <v>11385</v>
      </c>
    </row>
    <row r="209" spans="1:6" x14ac:dyDescent="0.25">
      <c r="A209">
        <v>208</v>
      </c>
      <c r="B209">
        <f t="shared" si="15"/>
        <v>3806.3999999999996</v>
      </c>
      <c r="C209">
        <f t="shared" si="16"/>
        <v>2283.8399999999997</v>
      </c>
      <c r="D209">
        <f t="shared" si="17"/>
        <v>1522.56</v>
      </c>
      <c r="E209">
        <f t="shared" si="18"/>
        <v>7633.6</v>
      </c>
      <c r="F209">
        <f t="shared" si="19"/>
        <v>11440</v>
      </c>
    </row>
    <row r="210" spans="1:6" x14ac:dyDescent="0.25">
      <c r="A210">
        <v>209</v>
      </c>
      <c r="B210">
        <f t="shared" si="15"/>
        <v>3824.6999999999994</v>
      </c>
      <c r="C210">
        <f t="shared" si="16"/>
        <v>2294.8199999999997</v>
      </c>
      <c r="D210">
        <f t="shared" si="17"/>
        <v>1529.8799999999999</v>
      </c>
      <c r="E210">
        <f t="shared" si="18"/>
        <v>7670.3</v>
      </c>
      <c r="F210">
        <f t="shared" si="19"/>
        <v>11495</v>
      </c>
    </row>
    <row r="211" spans="1:6" x14ac:dyDescent="0.25">
      <c r="A211">
        <v>210</v>
      </c>
      <c r="B211">
        <f t="shared" si="15"/>
        <v>3842.9999999999995</v>
      </c>
      <c r="C211">
        <f t="shared" si="16"/>
        <v>2305.7999999999997</v>
      </c>
      <c r="D211">
        <f t="shared" si="17"/>
        <v>1537.1999999999998</v>
      </c>
      <c r="E211">
        <f t="shared" si="18"/>
        <v>7707.0000000000009</v>
      </c>
      <c r="F211">
        <f t="shared" si="19"/>
        <v>11550</v>
      </c>
    </row>
    <row r="212" spans="1:6" x14ac:dyDescent="0.25">
      <c r="A212">
        <v>211</v>
      </c>
      <c r="B212">
        <f t="shared" si="15"/>
        <v>3861.2999999999993</v>
      </c>
      <c r="C212">
        <f t="shared" si="16"/>
        <v>2316.7799999999993</v>
      </c>
      <c r="D212">
        <f t="shared" si="17"/>
        <v>1544.5199999999998</v>
      </c>
      <c r="E212">
        <f t="shared" si="18"/>
        <v>7743.7000000000007</v>
      </c>
      <c r="F212">
        <f t="shared" si="19"/>
        <v>11605</v>
      </c>
    </row>
    <row r="213" spans="1:6" x14ac:dyDescent="0.25">
      <c r="A213">
        <v>212</v>
      </c>
      <c r="B213">
        <f t="shared" si="15"/>
        <v>3879.5999999999995</v>
      </c>
      <c r="C213">
        <f t="shared" si="16"/>
        <v>2327.7599999999998</v>
      </c>
      <c r="D213">
        <f t="shared" si="17"/>
        <v>1551.84</v>
      </c>
      <c r="E213">
        <f t="shared" si="18"/>
        <v>7780.4000000000005</v>
      </c>
      <c r="F213">
        <f t="shared" si="19"/>
        <v>11660</v>
      </c>
    </row>
    <row r="214" spans="1:6" x14ac:dyDescent="0.25">
      <c r="A214">
        <v>213</v>
      </c>
      <c r="B214">
        <f t="shared" si="15"/>
        <v>3897.8999999999992</v>
      </c>
      <c r="C214">
        <f t="shared" si="16"/>
        <v>2338.7399999999993</v>
      </c>
      <c r="D214">
        <f t="shared" si="17"/>
        <v>1559.1599999999999</v>
      </c>
      <c r="E214">
        <f t="shared" si="18"/>
        <v>7817.1</v>
      </c>
      <c r="F214">
        <f t="shared" si="19"/>
        <v>11715</v>
      </c>
    </row>
    <row r="215" spans="1:6" x14ac:dyDescent="0.25">
      <c r="A215">
        <v>214</v>
      </c>
      <c r="B215">
        <f t="shared" si="15"/>
        <v>3916.1999999999994</v>
      </c>
      <c r="C215">
        <f t="shared" si="16"/>
        <v>2349.7199999999993</v>
      </c>
      <c r="D215">
        <f t="shared" si="17"/>
        <v>1566.4799999999998</v>
      </c>
      <c r="E215">
        <f t="shared" si="18"/>
        <v>7853.8</v>
      </c>
      <c r="F215">
        <f t="shared" si="19"/>
        <v>11770</v>
      </c>
    </row>
    <row r="216" spans="1:6" x14ac:dyDescent="0.25">
      <c r="A216">
        <v>215</v>
      </c>
      <c r="B216">
        <f t="shared" si="15"/>
        <v>3934.4999999999995</v>
      </c>
      <c r="C216">
        <f t="shared" si="16"/>
        <v>2360.6999999999998</v>
      </c>
      <c r="D216">
        <f t="shared" si="17"/>
        <v>1573.8</v>
      </c>
      <c r="E216">
        <f t="shared" si="18"/>
        <v>7890.5000000000009</v>
      </c>
      <c r="F216">
        <f t="shared" si="19"/>
        <v>11825</v>
      </c>
    </row>
    <row r="217" spans="1:6" x14ac:dyDescent="0.25">
      <c r="A217">
        <v>216</v>
      </c>
      <c r="B217">
        <f t="shared" si="15"/>
        <v>3952.7999999999993</v>
      </c>
      <c r="C217">
        <f t="shared" si="16"/>
        <v>2371.6799999999994</v>
      </c>
      <c r="D217">
        <f t="shared" si="17"/>
        <v>1581.12</v>
      </c>
      <c r="E217">
        <f t="shared" si="18"/>
        <v>7927.2000000000007</v>
      </c>
      <c r="F217">
        <f t="shared" si="19"/>
        <v>11880</v>
      </c>
    </row>
    <row r="218" spans="1:6" x14ac:dyDescent="0.25">
      <c r="A218">
        <v>217</v>
      </c>
      <c r="B218">
        <f t="shared" si="15"/>
        <v>3971.0999999999995</v>
      </c>
      <c r="C218">
        <f t="shared" si="16"/>
        <v>2382.6599999999994</v>
      </c>
      <c r="D218">
        <f t="shared" si="17"/>
        <v>1588.4399999999998</v>
      </c>
      <c r="E218">
        <f t="shared" si="18"/>
        <v>7963.9000000000005</v>
      </c>
      <c r="F218">
        <f t="shared" si="19"/>
        <v>11935</v>
      </c>
    </row>
    <row r="219" spans="1:6" x14ac:dyDescent="0.25">
      <c r="A219">
        <v>218</v>
      </c>
      <c r="B219">
        <f t="shared" si="15"/>
        <v>3989.3999999999992</v>
      </c>
      <c r="C219">
        <f t="shared" si="16"/>
        <v>2393.6399999999994</v>
      </c>
      <c r="D219">
        <f t="shared" si="17"/>
        <v>1595.7599999999998</v>
      </c>
      <c r="E219">
        <f t="shared" si="18"/>
        <v>8000.6</v>
      </c>
      <c r="F219">
        <f t="shared" si="19"/>
        <v>11990</v>
      </c>
    </row>
    <row r="220" spans="1:6" x14ac:dyDescent="0.25">
      <c r="A220">
        <v>219</v>
      </c>
      <c r="B220">
        <f t="shared" si="15"/>
        <v>4007.6999999999994</v>
      </c>
      <c r="C220">
        <f t="shared" si="16"/>
        <v>2404.6199999999994</v>
      </c>
      <c r="D220">
        <f t="shared" si="17"/>
        <v>1603.08</v>
      </c>
      <c r="E220">
        <f t="shared" si="18"/>
        <v>8037.3</v>
      </c>
      <c r="F220">
        <f t="shared" si="19"/>
        <v>12045</v>
      </c>
    </row>
    <row r="221" spans="1:6" x14ac:dyDescent="0.25">
      <c r="A221">
        <v>220</v>
      </c>
      <c r="B221">
        <f t="shared" si="15"/>
        <v>4025.9999999999995</v>
      </c>
      <c r="C221">
        <f t="shared" si="16"/>
        <v>2415.5999999999995</v>
      </c>
      <c r="D221">
        <f t="shared" si="17"/>
        <v>1610.3999999999999</v>
      </c>
      <c r="E221">
        <f t="shared" si="18"/>
        <v>8074.0000000000009</v>
      </c>
      <c r="F221">
        <f t="shared" si="19"/>
        <v>12100</v>
      </c>
    </row>
    <row r="222" spans="1:6" x14ac:dyDescent="0.25">
      <c r="A222">
        <v>221</v>
      </c>
      <c r="B222">
        <f t="shared" si="15"/>
        <v>4044.2999999999993</v>
      </c>
      <c r="C222">
        <f t="shared" si="16"/>
        <v>2426.5799999999995</v>
      </c>
      <c r="D222">
        <f t="shared" si="17"/>
        <v>1617.7199999999998</v>
      </c>
      <c r="E222">
        <f t="shared" si="18"/>
        <v>8110.7000000000007</v>
      </c>
      <c r="F222">
        <f t="shared" si="19"/>
        <v>12155</v>
      </c>
    </row>
    <row r="223" spans="1:6" x14ac:dyDescent="0.25">
      <c r="A223">
        <v>222</v>
      </c>
      <c r="B223">
        <f t="shared" si="15"/>
        <v>4062.5999999999995</v>
      </c>
      <c r="C223">
        <f t="shared" si="16"/>
        <v>2437.5599999999995</v>
      </c>
      <c r="D223">
        <f t="shared" si="17"/>
        <v>1625.04</v>
      </c>
      <c r="E223">
        <f t="shared" si="18"/>
        <v>8147.4000000000005</v>
      </c>
      <c r="F223">
        <f t="shared" si="19"/>
        <v>12210</v>
      </c>
    </row>
    <row r="224" spans="1:6" x14ac:dyDescent="0.25">
      <c r="A224">
        <v>223</v>
      </c>
      <c r="B224">
        <f t="shared" si="15"/>
        <v>4080.8999999999992</v>
      </c>
      <c r="C224">
        <f t="shared" si="16"/>
        <v>2448.5399999999995</v>
      </c>
      <c r="D224">
        <f t="shared" si="17"/>
        <v>1632.3599999999997</v>
      </c>
      <c r="E224">
        <f t="shared" si="18"/>
        <v>8184.1</v>
      </c>
      <c r="F224">
        <f t="shared" si="19"/>
        <v>12265</v>
      </c>
    </row>
    <row r="225" spans="1:6" x14ac:dyDescent="0.25">
      <c r="A225">
        <v>224</v>
      </c>
      <c r="B225">
        <f t="shared" si="15"/>
        <v>4099.1999999999989</v>
      </c>
      <c r="C225">
        <f t="shared" si="16"/>
        <v>2459.5199999999991</v>
      </c>
      <c r="D225">
        <f t="shared" si="17"/>
        <v>1639.6799999999996</v>
      </c>
      <c r="E225">
        <f t="shared" si="18"/>
        <v>8220.8000000000011</v>
      </c>
      <c r="F225">
        <f t="shared" si="19"/>
        <v>12320</v>
      </c>
    </row>
    <row r="226" spans="1:6" x14ac:dyDescent="0.25">
      <c r="A226">
        <v>225</v>
      </c>
      <c r="B226">
        <f t="shared" si="15"/>
        <v>4117.4999999999991</v>
      </c>
      <c r="C226">
        <f t="shared" si="16"/>
        <v>2470.4999999999995</v>
      </c>
      <c r="D226">
        <f t="shared" si="17"/>
        <v>1646.9999999999998</v>
      </c>
      <c r="E226">
        <f t="shared" si="18"/>
        <v>8257.5</v>
      </c>
      <c r="F226">
        <f t="shared" si="19"/>
        <v>12375</v>
      </c>
    </row>
    <row r="227" spans="1:6" x14ac:dyDescent="0.25">
      <c r="A227">
        <v>226</v>
      </c>
      <c r="B227">
        <f t="shared" si="15"/>
        <v>4135.7999999999993</v>
      </c>
      <c r="C227">
        <f t="shared" si="16"/>
        <v>2481.4799999999996</v>
      </c>
      <c r="D227">
        <f t="shared" si="17"/>
        <v>1654.3199999999997</v>
      </c>
      <c r="E227">
        <f t="shared" si="18"/>
        <v>8294.2000000000007</v>
      </c>
      <c r="F227">
        <f t="shared" si="19"/>
        <v>12430</v>
      </c>
    </row>
    <row r="228" spans="1:6" x14ac:dyDescent="0.25">
      <c r="A228">
        <v>227</v>
      </c>
      <c r="B228">
        <f t="shared" si="15"/>
        <v>4154.0999999999995</v>
      </c>
      <c r="C228">
        <f t="shared" si="16"/>
        <v>2492.4599999999996</v>
      </c>
      <c r="D228">
        <f t="shared" si="17"/>
        <v>1661.6399999999999</v>
      </c>
      <c r="E228">
        <f t="shared" si="18"/>
        <v>8330.9000000000015</v>
      </c>
      <c r="F228">
        <f t="shared" si="19"/>
        <v>12485</v>
      </c>
    </row>
    <row r="229" spans="1:6" x14ac:dyDescent="0.25">
      <c r="A229">
        <v>228</v>
      </c>
      <c r="B229">
        <f t="shared" si="15"/>
        <v>4172.3999999999996</v>
      </c>
      <c r="C229">
        <f t="shared" si="16"/>
        <v>2503.4399999999996</v>
      </c>
      <c r="D229">
        <f t="shared" si="17"/>
        <v>1668.96</v>
      </c>
      <c r="E229">
        <f t="shared" si="18"/>
        <v>8367.6</v>
      </c>
      <c r="F229">
        <f t="shared" si="19"/>
        <v>12540</v>
      </c>
    </row>
    <row r="230" spans="1:6" x14ac:dyDescent="0.25">
      <c r="A230">
        <v>229</v>
      </c>
      <c r="B230">
        <f t="shared" si="15"/>
        <v>4190.6999999999989</v>
      </c>
      <c r="C230">
        <f t="shared" si="16"/>
        <v>2514.4199999999992</v>
      </c>
      <c r="D230">
        <f t="shared" si="17"/>
        <v>1676.2799999999997</v>
      </c>
      <c r="E230">
        <f t="shared" si="18"/>
        <v>8404.3000000000011</v>
      </c>
      <c r="F230">
        <f t="shared" si="19"/>
        <v>12595</v>
      </c>
    </row>
    <row r="231" spans="1:6" x14ac:dyDescent="0.25">
      <c r="A231">
        <v>230</v>
      </c>
      <c r="B231">
        <f t="shared" si="15"/>
        <v>4208.9999999999991</v>
      </c>
      <c r="C231">
        <f t="shared" si="16"/>
        <v>2525.3999999999992</v>
      </c>
      <c r="D231">
        <f t="shared" si="17"/>
        <v>1683.5999999999997</v>
      </c>
      <c r="E231">
        <f t="shared" si="18"/>
        <v>8441</v>
      </c>
      <c r="F231">
        <f t="shared" si="19"/>
        <v>12650</v>
      </c>
    </row>
    <row r="232" spans="1:6" x14ac:dyDescent="0.25">
      <c r="A232">
        <v>231</v>
      </c>
      <c r="B232">
        <f t="shared" si="15"/>
        <v>4227.2999999999993</v>
      </c>
      <c r="C232">
        <f t="shared" si="16"/>
        <v>2536.3799999999997</v>
      </c>
      <c r="D232">
        <f t="shared" si="17"/>
        <v>1690.9199999999998</v>
      </c>
      <c r="E232">
        <f t="shared" si="18"/>
        <v>8477.7000000000007</v>
      </c>
      <c r="F232">
        <f t="shared" si="19"/>
        <v>12705</v>
      </c>
    </row>
    <row r="233" spans="1:6" x14ac:dyDescent="0.25">
      <c r="A233">
        <v>232</v>
      </c>
      <c r="B233">
        <f t="shared" si="15"/>
        <v>4245.5999999999995</v>
      </c>
      <c r="C233">
        <f t="shared" si="16"/>
        <v>2547.3599999999997</v>
      </c>
      <c r="D233">
        <f t="shared" si="17"/>
        <v>1698.2399999999998</v>
      </c>
      <c r="E233">
        <f t="shared" si="18"/>
        <v>8514.4000000000015</v>
      </c>
      <c r="F233">
        <f t="shared" si="19"/>
        <v>12760</v>
      </c>
    </row>
    <row r="234" spans="1:6" x14ac:dyDescent="0.25">
      <c r="A234">
        <v>233</v>
      </c>
      <c r="B234">
        <f t="shared" si="15"/>
        <v>4263.8999999999996</v>
      </c>
      <c r="C234">
        <f t="shared" si="16"/>
        <v>2558.3399999999997</v>
      </c>
      <c r="D234">
        <f t="shared" si="17"/>
        <v>1705.56</v>
      </c>
      <c r="E234">
        <f t="shared" si="18"/>
        <v>8551.1</v>
      </c>
      <c r="F234">
        <f t="shared" si="19"/>
        <v>12815</v>
      </c>
    </row>
    <row r="235" spans="1:6" x14ac:dyDescent="0.25">
      <c r="A235">
        <v>234</v>
      </c>
      <c r="B235">
        <f t="shared" si="15"/>
        <v>4282.1999999999989</v>
      </c>
      <c r="C235">
        <f t="shared" si="16"/>
        <v>2569.3199999999993</v>
      </c>
      <c r="D235">
        <f t="shared" si="17"/>
        <v>1712.8799999999997</v>
      </c>
      <c r="E235">
        <f t="shared" si="18"/>
        <v>8587.8000000000011</v>
      </c>
      <c r="F235">
        <f t="shared" si="19"/>
        <v>12870</v>
      </c>
    </row>
    <row r="236" spans="1:6" x14ac:dyDescent="0.25">
      <c r="A236">
        <v>235</v>
      </c>
      <c r="B236">
        <f t="shared" si="15"/>
        <v>4300.4999999999991</v>
      </c>
      <c r="C236">
        <f t="shared" si="16"/>
        <v>2580.2999999999993</v>
      </c>
      <c r="D236">
        <f t="shared" si="17"/>
        <v>1720.1999999999998</v>
      </c>
      <c r="E236">
        <f t="shared" si="18"/>
        <v>8624.5</v>
      </c>
      <c r="F236">
        <f t="shared" si="19"/>
        <v>12925</v>
      </c>
    </row>
    <row r="237" spans="1:6" x14ac:dyDescent="0.25">
      <c r="A237">
        <v>236</v>
      </c>
      <c r="B237">
        <f t="shared" si="15"/>
        <v>4318.7999999999993</v>
      </c>
      <c r="C237">
        <f t="shared" si="16"/>
        <v>2591.2799999999993</v>
      </c>
      <c r="D237">
        <f t="shared" si="17"/>
        <v>1727.5199999999998</v>
      </c>
      <c r="E237">
        <f t="shared" si="18"/>
        <v>8661.2000000000007</v>
      </c>
      <c r="F237">
        <f t="shared" si="19"/>
        <v>12980</v>
      </c>
    </row>
    <row r="238" spans="1:6" x14ac:dyDescent="0.25">
      <c r="A238">
        <v>237</v>
      </c>
      <c r="B238">
        <f t="shared" si="15"/>
        <v>4337.0999999999995</v>
      </c>
      <c r="C238">
        <f t="shared" si="16"/>
        <v>2602.2599999999998</v>
      </c>
      <c r="D238">
        <f t="shared" si="17"/>
        <v>1734.84</v>
      </c>
      <c r="E238">
        <f t="shared" si="18"/>
        <v>8697.9000000000015</v>
      </c>
      <c r="F238">
        <f t="shared" si="19"/>
        <v>13035</v>
      </c>
    </row>
    <row r="239" spans="1:6" x14ac:dyDescent="0.25">
      <c r="A239">
        <v>238</v>
      </c>
      <c r="B239">
        <f t="shared" si="15"/>
        <v>4355.3999999999996</v>
      </c>
      <c r="C239">
        <f t="shared" si="16"/>
        <v>2613.2399999999998</v>
      </c>
      <c r="D239">
        <f t="shared" si="17"/>
        <v>1742.1599999999999</v>
      </c>
      <c r="E239">
        <f t="shared" si="18"/>
        <v>8734.6</v>
      </c>
      <c r="F239">
        <f t="shared" si="19"/>
        <v>13090</v>
      </c>
    </row>
    <row r="240" spans="1:6" x14ac:dyDescent="0.25">
      <c r="A240">
        <v>239</v>
      </c>
      <c r="B240">
        <f t="shared" si="15"/>
        <v>4373.6999999999989</v>
      </c>
      <c r="C240">
        <f t="shared" si="16"/>
        <v>2624.2199999999993</v>
      </c>
      <c r="D240">
        <f t="shared" si="17"/>
        <v>1749.4799999999996</v>
      </c>
      <c r="E240">
        <f t="shared" si="18"/>
        <v>8771.3000000000011</v>
      </c>
      <c r="F240">
        <f t="shared" si="19"/>
        <v>13145</v>
      </c>
    </row>
    <row r="241" spans="1:6" x14ac:dyDescent="0.25">
      <c r="A241">
        <v>240</v>
      </c>
      <c r="B241">
        <f t="shared" si="15"/>
        <v>4391.9999999999991</v>
      </c>
      <c r="C241">
        <f t="shared" si="16"/>
        <v>2635.1999999999994</v>
      </c>
      <c r="D241">
        <f t="shared" si="17"/>
        <v>1756.7999999999997</v>
      </c>
      <c r="E241">
        <f t="shared" si="18"/>
        <v>8808</v>
      </c>
      <c r="F241">
        <f t="shared" si="19"/>
        <v>13200</v>
      </c>
    </row>
    <row r="242" spans="1:6" x14ac:dyDescent="0.25">
      <c r="A242">
        <v>241</v>
      </c>
      <c r="B242">
        <f t="shared" si="15"/>
        <v>4410.2999999999993</v>
      </c>
      <c r="C242">
        <f t="shared" si="16"/>
        <v>2646.1799999999994</v>
      </c>
      <c r="D242">
        <f t="shared" si="17"/>
        <v>1764.12</v>
      </c>
      <c r="E242">
        <f t="shared" si="18"/>
        <v>8844.7000000000007</v>
      </c>
      <c r="F242">
        <f t="shared" si="19"/>
        <v>13255</v>
      </c>
    </row>
    <row r="243" spans="1:6" x14ac:dyDescent="0.25">
      <c r="A243">
        <v>242</v>
      </c>
      <c r="B243">
        <f t="shared" si="15"/>
        <v>4428.5999999999995</v>
      </c>
      <c r="C243">
        <f t="shared" si="16"/>
        <v>2657.1599999999994</v>
      </c>
      <c r="D243">
        <f t="shared" si="17"/>
        <v>1771.4399999999998</v>
      </c>
      <c r="E243">
        <f t="shared" si="18"/>
        <v>8881.4000000000015</v>
      </c>
      <c r="F243">
        <f t="shared" si="19"/>
        <v>13310</v>
      </c>
    </row>
    <row r="244" spans="1:6" x14ac:dyDescent="0.25">
      <c r="A244">
        <v>243</v>
      </c>
      <c r="B244">
        <f t="shared" si="15"/>
        <v>4446.8999999999996</v>
      </c>
      <c r="C244">
        <f t="shared" si="16"/>
        <v>2668.14</v>
      </c>
      <c r="D244">
        <f t="shared" si="17"/>
        <v>1778.76</v>
      </c>
      <c r="E244">
        <f t="shared" si="18"/>
        <v>8918.1</v>
      </c>
      <c r="F244">
        <f t="shared" si="19"/>
        <v>13365</v>
      </c>
    </row>
    <row r="245" spans="1:6" x14ac:dyDescent="0.25">
      <c r="A245">
        <v>244</v>
      </c>
      <c r="B245">
        <f t="shared" si="15"/>
        <v>4465.1999999999989</v>
      </c>
      <c r="C245">
        <f t="shared" si="16"/>
        <v>2679.1199999999994</v>
      </c>
      <c r="D245">
        <f t="shared" si="17"/>
        <v>1786.0799999999997</v>
      </c>
      <c r="E245">
        <f t="shared" si="18"/>
        <v>8954.8000000000011</v>
      </c>
      <c r="F245">
        <f t="shared" si="19"/>
        <v>13420</v>
      </c>
    </row>
    <row r="246" spans="1:6" x14ac:dyDescent="0.25">
      <c r="A246">
        <v>245</v>
      </c>
      <c r="B246">
        <f t="shared" si="15"/>
        <v>4483.4999999999991</v>
      </c>
      <c r="C246">
        <f t="shared" si="16"/>
        <v>2690.0999999999995</v>
      </c>
      <c r="D246">
        <f t="shared" si="17"/>
        <v>1793.3999999999996</v>
      </c>
      <c r="E246">
        <f t="shared" si="18"/>
        <v>8991.5</v>
      </c>
      <c r="F246">
        <f t="shared" si="19"/>
        <v>13475</v>
      </c>
    </row>
    <row r="247" spans="1:6" x14ac:dyDescent="0.25">
      <c r="A247">
        <v>246</v>
      </c>
      <c r="B247">
        <f t="shared" si="15"/>
        <v>4501.7999999999993</v>
      </c>
      <c r="C247">
        <f t="shared" si="16"/>
        <v>2701.0799999999995</v>
      </c>
      <c r="D247">
        <f t="shared" si="17"/>
        <v>1800.7199999999998</v>
      </c>
      <c r="E247">
        <f t="shared" si="18"/>
        <v>9028.2000000000007</v>
      </c>
      <c r="F247">
        <f t="shared" si="19"/>
        <v>13530</v>
      </c>
    </row>
    <row r="248" spans="1:6" x14ac:dyDescent="0.25">
      <c r="A248">
        <v>247</v>
      </c>
      <c r="B248">
        <f t="shared" si="15"/>
        <v>4520.0999999999995</v>
      </c>
      <c r="C248">
        <f t="shared" si="16"/>
        <v>2712.0599999999995</v>
      </c>
      <c r="D248">
        <f t="shared" si="17"/>
        <v>1808.04</v>
      </c>
      <c r="E248">
        <f t="shared" si="18"/>
        <v>9064.9000000000015</v>
      </c>
      <c r="F248">
        <f t="shared" si="19"/>
        <v>13585</v>
      </c>
    </row>
    <row r="249" spans="1:6" x14ac:dyDescent="0.25">
      <c r="A249">
        <v>248</v>
      </c>
      <c r="B249">
        <f t="shared" si="15"/>
        <v>4538.3999999999996</v>
      </c>
      <c r="C249">
        <f t="shared" si="16"/>
        <v>2723.0399999999995</v>
      </c>
      <c r="D249">
        <f t="shared" si="17"/>
        <v>1815.36</v>
      </c>
      <c r="E249">
        <f t="shared" si="18"/>
        <v>9101.6</v>
      </c>
      <c r="F249">
        <f t="shared" si="19"/>
        <v>13640</v>
      </c>
    </row>
    <row r="250" spans="1:6" x14ac:dyDescent="0.25">
      <c r="A250">
        <v>249</v>
      </c>
      <c r="B250">
        <f t="shared" si="15"/>
        <v>4556.6999999999989</v>
      </c>
      <c r="C250">
        <f t="shared" si="16"/>
        <v>2734.0199999999991</v>
      </c>
      <c r="D250">
        <f t="shared" si="17"/>
        <v>1822.6799999999996</v>
      </c>
      <c r="E250">
        <f t="shared" si="18"/>
        <v>9138.3000000000011</v>
      </c>
      <c r="F250">
        <f t="shared" si="19"/>
        <v>13695</v>
      </c>
    </row>
    <row r="251" spans="1:6" x14ac:dyDescent="0.25">
      <c r="A251">
        <v>250</v>
      </c>
      <c r="B251">
        <f t="shared" si="15"/>
        <v>4574.9999999999991</v>
      </c>
      <c r="C251">
        <f t="shared" si="16"/>
        <v>2744.9999999999995</v>
      </c>
      <c r="D251">
        <f t="shared" si="17"/>
        <v>1829.9999999999998</v>
      </c>
      <c r="E251">
        <f t="shared" si="18"/>
        <v>9175</v>
      </c>
      <c r="F251">
        <f t="shared" si="19"/>
        <v>13750</v>
      </c>
    </row>
    <row r="252" spans="1:6" x14ac:dyDescent="0.25">
      <c r="A252">
        <v>251</v>
      </c>
      <c r="B252">
        <f t="shared" si="15"/>
        <v>4593.2999999999993</v>
      </c>
      <c r="C252">
        <f t="shared" si="16"/>
        <v>2755.9799999999996</v>
      </c>
      <c r="D252">
        <f t="shared" si="17"/>
        <v>1837.3199999999997</v>
      </c>
      <c r="E252">
        <f t="shared" si="18"/>
        <v>9211.7000000000007</v>
      </c>
      <c r="F252">
        <f t="shared" si="19"/>
        <v>13805</v>
      </c>
    </row>
    <row r="253" spans="1:6" x14ac:dyDescent="0.25">
      <c r="A253">
        <v>252</v>
      </c>
      <c r="B253">
        <f t="shared" si="15"/>
        <v>4611.5999999999995</v>
      </c>
      <c r="C253">
        <f t="shared" si="16"/>
        <v>2766.9599999999996</v>
      </c>
      <c r="D253">
        <f t="shared" si="17"/>
        <v>1844.6399999999999</v>
      </c>
      <c r="E253">
        <f t="shared" si="18"/>
        <v>9248.4000000000015</v>
      </c>
      <c r="F253">
        <f t="shared" si="19"/>
        <v>13860</v>
      </c>
    </row>
    <row r="254" spans="1:6" x14ac:dyDescent="0.25">
      <c r="A254">
        <v>253</v>
      </c>
      <c r="B254">
        <f t="shared" si="15"/>
        <v>4629.8999999999996</v>
      </c>
      <c r="C254">
        <f t="shared" si="16"/>
        <v>2777.9399999999996</v>
      </c>
      <c r="D254">
        <f t="shared" si="17"/>
        <v>1851.96</v>
      </c>
      <c r="E254">
        <f t="shared" si="18"/>
        <v>9285.1</v>
      </c>
      <c r="F254">
        <f t="shared" si="19"/>
        <v>13915</v>
      </c>
    </row>
    <row r="255" spans="1:6" x14ac:dyDescent="0.25">
      <c r="A255">
        <v>254</v>
      </c>
      <c r="B255">
        <f t="shared" si="15"/>
        <v>4648.1999999999989</v>
      </c>
      <c r="C255">
        <f t="shared" si="16"/>
        <v>2788.9199999999992</v>
      </c>
      <c r="D255">
        <f t="shared" si="17"/>
        <v>1859.2799999999997</v>
      </c>
      <c r="E255">
        <f t="shared" si="18"/>
        <v>9321.8000000000011</v>
      </c>
      <c r="F255">
        <f t="shared" si="19"/>
        <v>13970</v>
      </c>
    </row>
    <row r="256" spans="1:6" x14ac:dyDescent="0.25">
      <c r="A256">
        <v>255</v>
      </c>
      <c r="B256">
        <f t="shared" si="15"/>
        <v>4666.4999999999991</v>
      </c>
      <c r="C256">
        <f t="shared" si="16"/>
        <v>2799.8999999999992</v>
      </c>
      <c r="D256">
        <f t="shared" si="17"/>
        <v>1866.5999999999997</v>
      </c>
      <c r="E256">
        <f t="shared" si="18"/>
        <v>9358.5</v>
      </c>
      <c r="F256">
        <f t="shared" si="19"/>
        <v>14025</v>
      </c>
    </row>
    <row r="257" spans="1:6" x14ac:dyDescent="0.25">
      <c r="A257">
        <v>256</v>
      </c>
      <c r="B257">
        <f t="shared" si="15"/>
        <v>4684.7999999999993</v>
      </c>
      <c r="C257">
        <f t="shared" si="16"/>
        <v>2810.8799999999997</v>
      </c>
      <c r="D257">
        <f t="shared" si="17"/>
        <v>1873.9199999999998</v>
      </c>
      <c r="E257">
        <f t="shared" si="18"/>
        <v>9395.2000000000007</v>
      </c>
      <c r="F257">
        <f t="shared" si="19"/>
        <v>14080</v>
      </c>
    </row>
    <row r="258" spans="1:6" x14ac:dyDescent="0.25">
      <c r="A258">
        <v>257</v>
      </c>
      <c r="B258">
        <f t="shared" si="15"/>
        <v>4703.0999999999995</v>
      </c>
      <c r="C258">
        <f t="shared" si="16"/>
        <v>2821.8599999999997</v>
      </c>
      <c r="D258">
        <f t="shared" si="17"/>
        <v>1881.2399999999998</v>
      </c>
      <c r="E258">
        <f t="shared" si="18"/>
        <v>9431.9000000000015</v>
      </c>
      <c r="F258">
        <f t="shared" si="19"/>
        <v>14135</v>
      </c>
    </row>
    <row r="259" spans="1:6" x14ac:dyDescent="0.25">
      <c r="A259">
        <v>258</v>
      </c>
      <c r="B259">
        <f t="shared" ref="B259:B322" si="20">$L$2*A259</f>
        <v>4721.3999999999996</v>
      </c>
      <c r="C259">
        <f t="shared" ref="C259:C322" si="21">B259*0.6</f>
        <v>2832.8399999999997</v>
      </c>
      <c r="D259">
        <f t="shared" ref="D259:D322" si="22">B259*0.4</f>
        <v>1888.56</v>
      </c>
      <c r="E259">
        <f t="shared" ref="E259:E322" si="23">$J$2*A259</f>
        <v>9468.6</v>
      </c>
      <c r="F259">
        <f t="shared" ref="F259:F322" si="24">E259+B259</f>
        <v>14190</v>
      </c>
    </row>
    <row r="260" spans="1:6" x14ac:dyDescent="0.25">
      <c r="A260">
        <v>259</v>
      </c>
      <c r="B260">
        <f t="shared" si="20"/>
        <v>4739.6999999999989</v>
      </c>
      <c r="C260">
        <f t="shared" si="21"/>
        <v>2843.8199999999993</v>
      </c>
      <c r="D260">
        <f t="shared" si="22"/>
        <v>1895.8799999999997</v>
      </c>
      <c r="E260">
        <f t="shared" si="23"/>
        <v>9505.3000000000011</v>
      </c>
      <c r="F260">
        <f t="shared" si="24"/>
        <v>14245</v>
      </c>
    </row>
    <row r="261" spans="1:6" x14ac:dyDescent="0.25">
      <c r="A261">
        <v>260</v>
      </c>
      <c r="B261">
        <f t="shared" si="20"/>
        <v>4757.9999999999991</v>
      </c>
      <c r="C261">
        <f t="shared" si="21"/>
        <v>2854.7999999999993</v>
      </c>
      <c r="D261">
        <f t="shared" si="22"/>
        <v>1903.1999999999998</v>
      </c>
      <c r="E261">
        <f t="shared" si="23"/>
        <v>9542</v>
      </c>
      <c r="F261">
        <f t="shared" si="24"/>
        <v>14300</v>
      </c>
    </row>
    <row r="262" spans="1:6" x14ac:dyDescent="0.25">
      <c r="A262">
        <v>261</v>
      </c>
      <c r="B262">
        <f t="shared" si="20"/>
        <v>4776.2999999999993</v>
      </c>
      <c r="C262">
        <f t="shared" si="21"/>
        <v>2865.7799999999993</v>
      </c>
      <c r="D262">
        <f t="shared" si="22"/>
        <v>1910.5199999999998</v>
      </c>
      <c r="E262">
        <f t="shared" si="23"/>
        <v>9578.7000000000007</v>
      </c>
      <c r="F262">
        <f t="shared" si="24"/>
        <v>14355</v>
      </c>
    </row>
    <row r="263" spans="1:6" x14ac:dyDescent="0.25">
      <c r="A263">
        <v>262</v>
      </c>
      <c r="B263">
        <f t="shared" si="20"/>
        <v>4794.5999999999995</v>
      </c>
      <c r="C263">
        <f t="shared" si="21"/>
        <v>2876.7599999999998</v>
      </c>
      <c r="D263">
        <f t="shared" si="22"/>
        <v>1917.84</v>
      </c>
      <c r="E263">
        <f t="shared" si="23"/>
        <v>9615.4000000000015</v>
      </c>
      <c r="F263">
        <f t="shared" si="24"/>
        <v>14410</v>
      </c>
    </row>
    <row r="264" spans="1:6" x14ac:dyDescent="0.25">
      <c r="A264">
        <v>263</v>
      </c>
      <c r="B264">
        <f t="shared" si="20"/>
        <v>4812.8999999999996</v>
      </c>
      <c r="C264">
        <f t="shared" si="21"/>
        <v>2887.74</v>
      </c>
      <c r="D264">
        <f t="shared" si="22"/>
        <v>1925.1599999999999</v>
      </c>
      <c r="E264">
        <f t="shared" si="23"/>
        <v>9652.1</v>
      </c>
      <c r="F264">
        <f t="shared" si="24"/>
        <v>14465</v>
      </c>
    </row>
    <row r="265" spans="1:6" x14ac:dyDescent="0.25">
      <c r="A265">
        <v>264</v>
      </c>
      <c r="B265">
        <f t="shared" si="20"/>
        <v>4831.1999999999989</v>
      </c>
      <c r="C265">
        <f t="shared" si="21"/>
        <v>2898.7199999999993</v>
      </c>
      <c r="D265">
        <f t="shared" si="22"/>
        <v>1932.4799999999996</v>
      </c>
      <c r="E265">
        <f t="shared" si="23"/>
        <v>9688.8000000000011</v>
      </c>
      <c r="F265">
        <f t="shared" si="24"/>
        <v>14520</v>
      </c>
    </row>
    <row r="266" spans="1:6" x14ac:dyDescent="0.25">
      <c r="A266">
        <v>265</v>
      </c>
      <c r="B266">
        <f t="shared" si="20"/>
        <v>4849.4999999999991</v>
      </c>
      <c r="C266">
        <f t="shared" si="21"/>
        <v>2909.6999999999994</v>
      </c>
      <c r="D266">
        <f t="shared" si="22"/>
        <v>1939.7999999999997</v>
      </c>
      <c r="E266">
        <f t="shared" si="23"/>
        <v>9725.5</v>
      </c>
      <c r="F266">
        <f t="shared" si="24"/>
        <v>14575</v>
      </c>
    </row>
    <row r="267" spans="1:6" x14ac:dyDescent="0.25">
      <c r="A267">
        <v>266</v>
      </c>
      <c r="B267">
        <f t="shared" si="20"/>
        <v>4867.7999999999993</v>
      </c>
      <c r="C267">
        <f t="shared" si="21"/>
        <v>2920.6799999999994</v>
      </c>
      <c r="D267">
        <f t="shared" si="22"/>
        <v>1947.12</v>
      </c>
      <c r="E267">
        <f t="shared" si="23"/>
        <v>9762.2000000000007</v>
      </c>
      <c r="F267">
        <f t="shared" si="24"/>
        <v>14630</v>
      </c>
    </row>
    <row r="268" spans="1:6" x14ac:dyDescent="0.25">
      <c r="A268">
        <v>267</v>
      </c>
      <c r="B268">
        <f t="shared" si="20"/>
        <v>4886.0999999999995</v>
      </c>
      <c r="C268">
        <f t="shared" si="21"/>
        <v>2931.6599999999994</v>
      </c>
      <c r="D268">
        <f t="shared" si="22"/>
        <v>1954.4399999999998</v>
      </c>
      <c r="E268">
        <f t="shared" si="23"/>
        <v>9798.9000000000015</v>
      </c>
      <c r="F268">
        <f t="shared" si="24"/>
        <v>14685</v>
      </c>
    </row>
    <row r="269" spans="1:6" x14ac:dyDescent="0.25">
      <c r="A269">
        <v>268</v>
      </c>
      <c r="B269">
        <f t="shared" si="20"/>
        <v>4904.3999999999996</v>
      </c>
      <c r="C269">
        <f t="shared" si="21"/>
        <v>2942.64</v>
      </c>
      <c r="D269">
        <f t="shared" si="22"/>
        <v>1961.76</v>
      </c>
      <c r="E269">
        <f t="shared" si="23"/>
        <v>9835.6</v>
      </c>
      <c r="F269">
        <f t="shared" si="24"/>
        <v>14740</v>
      </c>
    </row>
    <row r="270" spans="1:6" x14ac:dyDescent="0.25">
      <c r="A270">
        <v>269</v>
      </c>
      <c r="B270">
        <f t="shared" si="20"/>
        <v>4922.6999999999989</v>
      </c>
      <c r="C270">
        <f t="shared" si="21"/>
        <v>2953.6199999999994</v>
      </c>
      <c r="D270">
        <f t="shared" si="22"/>
        <v>1969.0799999999997</v>
      </c>
      <c r="E270">
        <f t="shared" si="23"/>
        <v>9872.3000000000011</v>
      </c>
      <c r="F270">
        <f t="shared" si="24"/>
        <v>14795</v>
      </c>
    </row>
    <row r="271" spans="1:6" x14ac:dyDescent="0.25">
      <c r="A271">
        <v>270</v>
      </c>
      <c r="B271">
        <f t="shared" si="20"/>
        <v>4940.9999999999991</v>
      </c>
      <c r="C271">
        <f t="shared" si="21"/>
        <v>2964.5999999999995</v>
      </c>
      <c r="D271">
        <f t="shared" si="22"/>
        <v>1976.3999999999996</v>
      </c>
      <c r="E271">
        <f t="shared" si="23"/>
        <v>9909</v>
      </c>
      <c r="F271">
        <f t="shared" si="24"/>
        <v>14850</v>
      </c>
    </row>
    <row r="272" spans="1:6" x14ac:dyDescent="0.25">
      <c r="A272">
        <v>271</v>
      </c>
      <c r="B272">
        <f t="shared" si="20"/>
        <v>4959.2999999999993</v>
      </c>
      <c r="C272">
        <f t="shared" si="21"/>
        <v>2975.5799999999995</v>
      </c>
      <c r="D272">
        <f t="shared" si="22"/>
        <v>1983.7199999999998</v>
      </c>
      <c r="E272">
        <f t="shared" si="23"/>
        <v>9945.7000000000007</v>
      </c>
      <c r="F272">
        <f t="shared" si="24"/>
        <v>14905</v>
      </c>
    </row>
    <row r="273" spans="1:6" x14ac:dyDescent="0.25">
      <c r="A273">
        <v>272</v>
      </c>
      <c r="B273">
        <f t="shared" si="20"/>
        <v>4977.5999999999995</v>
      </c>
      <c r="C273">
        <f t="shared" si="21"/>
        <v>2986.5599999999995</v>
      </c>
      <c r="D273">
        <f t="shared" si="22"/>
        <v>1991.04</v>
      </c>
      <c r="E273">
        <f t="shared" si="23"/>
        <v>9982.4000000000015</v>
      </c>
      <c r="F273">
        <f t="shared" si="24"/>
        <v>14960</v>
      </c>
    </row>
    <row r="274" spans="1:6" x14ac:dyDescent="0.25">
      <c r="A274">
        <v>273</v>
      </c>
      <c r="B274">
        <f t="shared" si="20"/>
        <v>4995.8999999999996</v>
      </c>
      <c r="C274">
        <f t="shared" si="21"/>
        <v>2997.5399999999995</v>
      </c>
      <c r="D274">
        <f t="shared" si="22"/>
        <v>1998.36</v>
      </c>
      <c r="E274">
        <f t="shared" si="23"/>
        <v>10019.1</v>
      </c>
      <c r="F274">
        <f t="shared" si="24"/>
        <v>15015</v>
      </c>
    </row>
    <row r="275" spans="1:6" x14ac:dyDescent="0.25">
      <c r="A275">
        <v>274</v>
      </c>
      <c r="B275">
        <f t="shared" si="20"/>
        <v>5014.1999999999989</v>
      </c>
      <c r="C275">
        <f t="shared" si="21"/>
        <v>3008.5199999999991</v>
      </c>
      <c r="D275">
        <f t="shared" si="22"/>
        <v>2005.6799999999996</v>
      </c>
      <c r="E275">
        <f t="shared" si="23"/>
        <v>10055.800000000001</v>
      </c>
      <c r="F275">
        <f t="shared" si="24"/>
        <v>15070</v>
      </c>
    </row>
    <row r="276" spans="1:6" x14ac:dyDescent="0.25">
      <c r="A276">
        <v>275</v>
      </c>
      <c r="B276">
        <f t="shared" si="20"/>
        <v>5032.4999999999991</v>
      </c>
      <c r="C276">
        <f t="shared" si="21"/>
        <v>3019.4999999999995</v>
      </c>
      <c r="D276">
        <f t="shared" si="22"/>
        <v>2012.9999999999998</v>
      </c>
      <c r="E276">
        <f t="shared" si="23"/>
        <v>10092.5</v>
      </c>
      <c r="F276">
        <f t="shared" si="24"/>
        <v>15125</v>
      </c>
    </row>
    <row r="277" spans="1:6" x14ac:dyDescent="0.25">
      <c r="A277">
        <v>276</v>
      </c>
      <c r="B277">
        <f t="shared" si="20"/>
        <v>5050.7999999999993</v>
      </c>
      <c r="C277">
        <f t="shared" si="21"/>
        <v>3030.4799999999996</v>
      </c>
      <c r="D277">
        <f t="shared" si="22"/>
        <v>2020.3199999999997</v>
      </c>
      <c r="E277">
        <f t="shared" si="23"/>
        <v>10129.200000000001</v>
      </c>
      <c r="F277">
        <f t="shared" si="24"/>
        <v>15180</v>
      </c>
    </row>
    <row r="278" spans="1:6" x14ac:dyDescent="0.25">
      <c r="A278">
        <v>277</v>
      </c>
      <c r="B278">
        <f t="shared" si="20"/>
        <v>5069.0999999999995</v>
      </c>
      <c r="C278">
        <f t="shared" si="21"/>
        <v>3041.4599999999996</v>
      </c>
      <c r="D278">
        <f t="shared" si="22"/>
        <v>2027.6399999999999</v>
      </c>
      <c r="E278">
        <f t="shared" si="23"/>
        <v>10165.900000000001</v>
      </c>
      <c r="F278">
        <f t="shared" si="24"/>
        <v>15235</v>
      </c>
    </row>
    <row r="279" spans="1:6" x14ac:dyDescent="0.25">
      <c r="A279">
        <v>278</v>
      </c>
      <c r="B279">
        <f t="shared" si="20"/>
        <v>5087.3999999999996</v>
      </c>
      <c r="C279">
        <f t="shared" si="21"/>
        <v>3052.4399999999996</v>
      </c>
      <c r="D279">
        <f t="shared" si="22"/>
        <v>2034.96</v>
      </c>
      <c r="E279">
        <f t="shared" si="23"/>
        <v>10202.6</v>
      </c>
      <c r="F279">
        <f t="shared" si="24"/>
        <v>15290</v>
      </c>
    </row>
    <row r="280" spans="1:6" x14ac:dyDescent="0.25">
      <c r="A280">
        <v>279</v>
      </c>
      <c r="B280">
        <f t="shared" si="20"/>
        <v>5105.6999999999989</v>
      </c>
      <c r="C280">
        <f t="shared" si="21"/>
        <v>3063.4199999999992</v>
      </c>
      <c r="D280">
        <f t="shared" si="22"/>
        <v>2042.2799999999997</v>
      </c>
      <c r="E280">
        <f t="shared" si="23"/>
        <v>10239.300000000001</v>
      </c>
      <c r="F280">
        <f t="shared" si="24"/>
        <v>15345</v>
      </c>
    </row>
    <row r="281" spans="1:6" x14ac:dyDescent="0.25">
      <c r="A281">
        <v>280</v>
      </c>
      <c r="B281">
        <f t="shared" si="20"/>
        <v>5123.9999999999991</v>
      </c>
      <c r="C281">
        <f t="shared" si="21"/>
        <v>3074.3999999999992</v>
      </c>
      <c r="D281">
        <f t="shared" si="22"/>
        <v>2049.6</v>
      </c>
      <c r="E281">
        <f t="shared" si="23"/>
        <v>10276</v>
      </c>
      <c r="F281">
        <f t="shared" si="24"/>
        <v>15400</v>
      </c>
    </row>
    <row r="282" spans="1:6" x14ac:dyDescent="0.25">
      <c r="A282">
        <v>281</v>
      </c>
      <c r="B282">
        <f t="shared" si="20"/>
        <v>5142.2999999999993</v>
      </c>
      <c r="C282">
        <f t="shared" si="21"/>
        <v>3085.3799999999997</v>
      </c>
      <c r="D282">
        <f t="shared" si="22"/>
        <v>2056.9199999999996</v>
      </c>
      <c r="E282">
        <f t="shared" si="23"/>
        <v>10312.700000000001</v>
      </c>
      <c r="F282">
        <f t="shared" si="24"/>
        <v>15455</v>
      </c>
    </row>
    <row r="283" spans="1:6" x14ac:dyDescent="0.25">
      <c r="A283">
        <v>282</v>
      </c>
      <c r="B283">
        <f t="shared" si="20"/>
        <v>5160.5999999999995</v>
      </c>
      <c r="C283">
        <f t="shared" si="21"/>
        <v>3096.3599999999997</v>
      </c>
      <c r="D283">
        <f t="shared" si="22"/>
        <v>2064.2399999999998</v>
      </c>
      <c r="E283">
        <f t="shared" si="23"/>
        <v>10349.400000000001</v>
      </c>
      <c r="F283">
        <f t="shared" si="24"/>
        <v>15510</v>
      </c>
    </row>
    <row r="284" spans="1:6" x14ac:dyDescent="0.25">
      <c r="A284">
        <v>283</v>
      </c>
      <c r="B284">
        <f t="shared" si="20"/>
        <v>5178.8999999999996</v>
      </c>
      <c r="C284">
        <f t="shared" si="21"/>
        <v>3107.3399999999997</v>
      </c>
      <c r="D284">
        <f t="shared" si="22"/>
        <v>2071.56</v>
      </c>
      <c r="E284">
        <f t="shared" si="23"/>
        <v>10386.1</v>
      </c>
      <c r="F284">
        <f t="shared" si="24"/>
        <v>15565</v>
      </c>
    </row>
    <row r="285" spans="1:6" x14ac:dyDescent="0.25">
      <c r="A285">
        <v>284</v>
      </c>
      <c r="B285">
        <f t="shared" si="20"/>
        <v>5197.1999999999989</v>
      </c>
      <c r="C285">
        <f t="shared" si="21"/>
        <v>3118.3199999999993</v>
      </c>
      <c r="D285">
        <f t="shared" si="22"/>
        <v>2078.8799999999997</v>
      </c>
      <c r="E285">
        <f t="shared" si="23"/>
        <v>10422.800000000001</v>
      </c>
      <c r="F285">
        <f t="shared" si="24"/>
        <v>15620</v>
      </c>
    </row>
    <row r="286" spans="1:6" x14ac:dyDescent="0.25">
      <c r="A286">
        <v>285</v>
      </c>
      <c r="B286">
        <f t="shared" si="20"/>
        <v>5215.4999999999991</v>
      </c>
      <c r="C286">
        <f t="shared" si="21"/>
        <v>3129.2999999999993</v>
      </c>
      <c r="D286">
        <f t="shared" si="22"/>
        <v>2086.1999999999998</v>
      </c>
      <c r="E286">
        <f t="shared" si="23"/>
        <v>10459.5</v>
      </c>
      <c r="F286">
        <f t="shared" si="24"/>
        <v>15675</v>
      </c>
    </row>
    <row r="287" spans="1:6" x14ac:dyDescent="0.25">
      <c r="A287">
        <v>286</v>
      </c>
      <c r="B287">
        <f t="shared" si="20"/>
        <v>5233.7999999999993</v>
      </c>
      <c r="C287">
        <f t="shared" si="21"/>
        <v>3140.2799999999993</v>
      </c>
      <c r="D287">
        <f t="shared" si="22"/>
        <v>2093.52</v>
      </c>
      <c r="E287">
        <f t="shared" si="23"/>
        <v>10496.2</v>
      </c>
      <c r="F287">
        <f t="shared" si="24"/>
        <v>15730</v>
      </c>
    </row>
    <row r="288" spans="1:6" x14ac:dyDescent="0.25">
      <c r="A288">
        <v>287</v>
      </c>
      <c r="B288">
        <f t="shared" si="20"/>
        <v>5252.0999999999995</v>
      </c>
      <c r="C288">
        <f t="shared" si="21"/>
        <v>3151.2599999999998</v>
      </c>
      <c r="D288">
        <f t="shared" si="22"/>
        <v>2100.8399999999997</v>
      </c>
      <c r="E288">
        <f t="shared" si="23"/>
        <v>10532.900000000001</v>
      </c>
      <c r="F288">
        <f t="shared" si="24"/>
        <v>15785</v>
      </c>
    </row>
    <row r="289" spans="1:6" x14ac:dyDescent="0.25">
      <c r="A289">
        <v>288</v>
      </c>
      <c r="B289">
        <f t="shared" si="20"/>
        <v>5270.4</v>
      </c>
      <c r="C289">
        <f t="shared" si="21"/>
        <v>3162.24</v>
      </c>
      <c r="D289">
        <f t="shared" si="22"/>
        <v>2108.16</v>
      </c>
      <c r="E289">
        <f t="shared" si="23"/>
        <v>10569.6</v>
      </c>
      <c r="F289">
        <f t="shared" si="24"/>
        <v>15840</v>
      </c>
    </row>
    <row r="290" spans="1:6" x14ac:dyDescent="0.25">
      <c r="A290">
        <v>289</v>
      </c>
      <c r="B290">
        <f t="shared" si="20"/>
        <v>5288.6999999999989</v>
      </c>
      <c r="C290">
        <f t="shared" si="21"/>
        <v>3173.2199999999993</v>
      </c>
      <c r="D290">
        <f t="shared" si="22"/>
        <v>2115.4799999999996</v>
      </c>
      <c r="E290">
        <f t="shared" si="23"/>
        <v>10606.300000000001</v>
      </c>
      <c r="F290">
        <f t="shared" si="24"/>
        <v>15895</v>
      </c>
    </row>
    <row r="291" spans="1:6" x14ac:dyDescent="0.25">
      <c r="A291">
        <v>290</v>
      </c>
      <c r="B291">
        <f t="shared" si="20"/>
        <v>5306.9999999999991</v>
      </c>
      <c r="C291">
        <f t="shared" si="21"/>
        <v>3184.1999999999994</v>
      </c>
      <c r="D291">
        <f t="shared" si="22"/>
        <v>2122.7999999999997</v>
      </c>
      <c r="E291">
        <f t="shared" si="23"/>
        <v>10643</v>
      </c>
      <c r="F291">
        <f t="shared" si="24"/>
        <v>15950</v>
      </c>
    </row>
    <row r="292" spans="1:6" x14ac:dyDescent="0.25">
      <c r="A292">
        <v>291</v>
      </c>
      <c r="B292">
        <f t="shared" si="20"/>
        <v>5325.2999999999993</v>
      </c>
      <c r="C292">
        <f t="shared" si="21"/>
        <v>3195.1799999999994</v>
      </c>
      <c r="D292">
        <f t="shared" si="22"/>
        <v>2130.12</v>
      </c>
      <c r="E292">
        <f t="shared" si="23"/>
        <v>10679.7</v>
      </c>
      <c r="F292">
        <f t="shared" si="24"/>
        <v>16005</v>
      </c>
    </row>
    <row r="293" spans="1:6" x14ac:dyDescent="0.25">
      <c r="A293">
        <v>292</v>
      </c>
      <c r="B293">
        <f t="shared" si="20"/>
        <v>5343.5999999999995</v>
      </c>
      <c r="C293">
        <f t="shared" si="21"/>
        <v>3206.1599999999994</v>
      </c>
      <c r="D293">
        <f t="shared" si="22"/>
        <v>2137.44</v>
      </c>
      <c r="E293">
        <f t="shared" si="23"/>
        <v>10716.400000000001</v>
      </c>
      <c r="F293">
        <f t="shared" si="24"/>
        <v>16060</v>
      </c>
    </row>
    <row r="294" spans="1:6" x14ac:dyDescent="0.25">
      <c r="A294">
        <v>293</v>
      </c>
      <c r="B294">
        <f t="shared" si="20"/>
        <v>5361.8999999999987</v>
      </c>
      <c r="C294">
        <f t="shared" si="21"/>
        <v>3217.139999999999</v>
      </c>
      <c r="D294">
        <f t="shared" si="22"/>
        <v>2144.7599999999998</v>
      </c>
      <c r="E294">
        <f t="shared" si="23"/>
        <v>10753.1</v>
      </c>
      <c r="F294">
        <f t="shared" si="24"/>
        <v>16115</v>
      </c>
    </row>
    <row r="295" spans="1:6" x14ac:dyDescent="0.25">
      <c r="A295">
        <v>294</v>
      </c>
      <c r="B295">
        <f t="shared" si="20"/>
        <v>5380.1999999999989</v>
      </c>
      <c r="C295">
        <f t="shared" si="21"/>
        <v>3228.1199999999994</v>
      </c>
      <c r="D295">
        <f t="shared" si="22"/>
        <v>2152.0799999999995</v>
      </c>
      <c r="E295">
        <f t="shared" si="23"/>
        <v>10789.800000000001</v>
      </c>
      <c r="F295">
        <f t="shared" si="24"/>
        <v>16170</v>
      </c>
    </row>
    <row r="296" spans="1:6" x14ac:dyDescent="0.25">
      <c r="A296">
        <v>295</v>
      </c>
      <c r="B296">
        <f t="shared" si="20"/>
        <v>5398.4999999999991</v>
      </c>
      <c r="C296">
        <f t="shared" si="21"/>
        <v>3239.0999999999995</v>
      </c>
      <c r="D296">
        <f t="shared" si="22"/>
        <v>2159.3999999999996</v>
      </c>
      <c r="E296">
        <f t="shared" si="23"/>
        <v>10826.5</v>
      </c>
      <c r="F296">
        <f t="shared" si="24"/>
        <v>16225</v>
      </c>
    </row>
    <row r="297" spans="1:6" x14ac:dyDescent="0.25">
      <c r="A297">
        <v>296</v>
      </c>
      <c r="B297">
        <f t="shared" si="20"/>
        <v>5416.7999999999993</v>
      </c>
      <c r="C297">
        <f t="shared" si="21"/>
        <v>3250.0799999999995</v>
      </c>
      <c r="D297">
        <f t="shared" si="22"/>
        <v>2166.7199999999998</v>
      </c>
      <c r="E297">
        <f t="shared" si="23"/>
        <v>10863.2</v>
      </c>
      <c r="F297">
        <f t="shared" si="24"/>
        <v>16280</v>
      </c>
    </row>
    <row r="298" spans="1:6" x14ac:dyDescent="0.25">
      <c r="A298">
        <v>297</v>
      </c>
      <c r="B298">
        <f t="shared" si="20"/>
        <v>5435.0999999999995</v>
      </c>
      <c r="C298">
        <f t="shared" si="21"/>
        <v>3261.0599999999995</v>
      </c>
      <c r="D298">
        <f t="shared" si="22"/>
        <v>2174.04</v>
      </c>
      <c r="E298">
        <f t="shared" si="23"/>
        <v>10899.900000000001</v>
      </c>
      <c r="F298">
        <f t="shared" si="24"/>
        <v>16335</v>
      </c>
    </row>
    <row r="299" spans="1:6" x14ac:dyDescent="0.25">
      <c r="A299">
        <v>298</v>
      </c>
      <c r="B299">
        <f t="shared" si="20"/>
        <v>5453.3999999999987</v>
      </c>
      <c r="C299">
        <f t="shared" si="21"/>
        <v>3272.0399999999991</v>
      </c>
      <c r="D299">
        <f t="shared" si="22"/>
        <v>2181.3599999999997</v>
      </c>
      <c r="E299">
        <f t="shared" si="23"/>
        <v>10936.6</v>
      </c>
      <c r="F299">
        <f t="shared" si="24"/>
        <v>16390</v>
      </c>
    </row>
    <row r="300" spans="1:6" x14ac:dyDescent="0.25">
      <c r="A300">
        <v>299</v>
      </c>
      <c r="B300">
        <f t="shared" si="20"/>
        <v>5471.6999999999989</v>
      </c>
      <c r="C300">
        <f t="shared" si="21"/>
        <v>3283.0199999999991</v>
      </c>
      <c r="D300">
        <f t="shared" si="22"/>
        <v>2188.6799999999998</v>
      </c>
      <c r="E300">
        <f t="shared" si="23"/>
        <v>10973.300000000001</v>
      </c>
      <c r="F300">
        <f t="shared" si="24"/>
        <v>16445</v>
      </c>
    </row>
    <row r="301" spans="1:6" x14ac:dyDescent="0.25">
      <c r="A301">
        <v>300</v>
      </c>
      <c r="B301">
        <f t="shared" si="20"/>
        <v>5489.9999999999991</v>
      </c>
      <c r="C301">
        <f t="shared" si="21"/>
        <v>3293.9999999999995</v>
      </c>
      <c r="D301">
        <f t="shared" si="22"/>
        <v>2195.9999999999995</v>
      </c>
      <c r="E301">
        <f t="shared" si="23"/>
        <v>11010</v>
      </c>
      <c r="F301">
        <f t="shared" si="24"/>
        <v>16500</v>
      </c>
    </row>
    <row r="302" spans="1:6" x14ac:dyDescent="0.25">
      <c r="A302">
        <v>301</v>
      </c>
      <c r="B302">
        <f t="shared" si="20"/>
        <v>5508.2999999999993</v>
      </c>
      <c r="C302">
        <f t="shared" si="21"/>
        <v>3304.9799999999996</v>
      </c>
      <c r="D302">
        <f t="shared" si="22"/>
        <v>2203.3199999999997</v>
      </c>
      <c r="E302">
        <f t="shared" si="23"/>
        <v>11046.7</v>
      </c>
      <c r="F302">
        <f t="shared" si="24"/>
        <v>16555</v>
      </c>
    </row>
    <row r="303" spans="1:6" x14ac:dyDescent="0.25">
      <c r="A303">
        <v>302</v>
      </c>
      <c r="B303">
        <f t="shared" si="20"/>
        <v>5526.5999999999995</v>
      </c>
      <c r="C303">
        <f t="shared" si="21"/>
        <v>3315.9599999999996</v>
      </c>
      <c r="D303">
        <f t="shared" si="22"/>
        <v>2210.64</v>
      </c>
      <c r="E303">
        <f t="shared" si="23"/>
        <v>11083.400000000001</v>
      </c>
      <c r="F303">
        <f t="shared" si="24"/>
        <v>16610</v>
      </c>
    </row>
    <row r="304" spans="1:6" x14ac:dyDescent="0.25">
      <c r="A304">
        <v>303</v>
      </c>
      <c r="B304">
        <f t="shared" si="20"/>
        <v>5544.8999999999987</v>
      </c>
      <c r="C304">
        <f t="shared" si="21"/>
        <v>3326.9399999999991</v>
      </c>
      <c r="D304">
        <f t="shared" si="22"/>
        <v>2217.9599999999996</v>
      </c>
      <c r="E304">
        <f t="shared" si="23"/>
        <v>11120.1</v>
      </c>
      <c r="F304">
        <f t="shared" si="24"/>
        <v>16665</v>
      </c>
    </row>
    <row r="305" spans="1:6" x14ac:dyDescent="0.25">
      <c r="A305">
        <v>304</v>
      </c>
      <c r="B305">
        <f t="shared" si="20"/>
        <v>5563.1999999999989</v>
      </c>
      <c r="C305">
        <f t="shared" si="21"/>
        <v>3337.9199999999992</v>
      </c>
      <c r="D305">
        <f t="shared" si="22"/>
        <v>2225.2799999999997</v>
      </c>
      <c r="E305">
        <f t="shared" si="23"/>
        <v>11156.800000000001</v>
      </c>
      <c r="F305">
        <f t="shared" si="24"/>
        <v>16720</v>
      </c>
    </row>
    <row r="306" spans="1:6" x14ac:dyDescent="0.25">
      <c r="A306">
        <v>305</v>
      </c>
      <c r="B306">
        <f t="shared" si="20"/>
        <v>5581.4999999999991</v>
      </c>
      <c r="C306">
        <f t="shared" si="21"/>
        <v>3348.8999999999992</v>
      </c>
      <c r="D306">
        <f t="shared" si="22"/>
        <v>2232.6</v>
      </c>
      <c r="E306">
        <f t="shared" si="23"/>
        <v>11193.5</v>
      </c>
      <c r="F306">
        <f t="shared" si="24"/>
        <v>16775</v>
      </c>
    </row>
    <row r="307" spans="1:6" x14ac:dyDescent="0.25">
      <c r="A307">
        <v>306</v>
      </c>
      <c r="B307">
        <f t="shared" si="20"/>
        <v>5599.7999999999993</v>
      </c>
      <c r="C307">
        <f t="shared" si="21"/>
        <v>3359.8799999999997</v>
      </c>
      <c r="D307">
        <f t="shared" si="22"/>
        <v>2239.9199999999996</v>
      </c>
      <c r="E307">
        <f t="shared" si="23"/>
        <v>11230.2</v>
      </c>
      <c r="F307">
        <f t="shared" si="24"/>
        <v>16830</v>
      </c>
    </row>
    <row r="308" spans="1:6" x14ac:dyDescent="0.25">
      <c r="A308">
        <v>307</v>
      </c>
      <c r="B308">
        <f t="shared" si="20"/>
        <v>5618.0999999999995</v>
      </c>
      <c r="C308">
        <f t="shared" si="21"/>
        <v>3370.8599999999997</v>
      </c>
      <c r="D308">
        <f t="shared" si="22"/>
        <v>2247.2399999999998</v>
      </c>
      <c r="E308">
        <f t="shared" si="23"/>
        <v>11266.900000000001</v>
      </c>
      <c r="F308">
        <f t="shared" si="24"/>
        <v>16885</v>
      </c>
    </row>
    <row r="309" spans="1:6" x14ac:dyDescent="0.25">
      <c r="A309">
        <v>308</v>
      </c>
      <c r="B309">
        <f t="shared" si="20"/>
        <v>5636.3999999999987</v>
      </c>
      <c r="C309">
        <f t="shared" si="21"/>
        <v>3381.8399999999992</v>
      </c>
      <c r="D309">
        <f t="shared" si="22"/>
        <v>2254.5599999999995</v>
      </c>
      <c r="E309">
        <f t="shared" si="23"/>
        <v>11303.6</v>
      </c>
      <c r="F309">
        <f t="shared" si="24"/>
        <v>16940</v>
      </c>
    </row>
    <row r="310" spans="1:6" x14ac:dyDescent="0.25">
      <c r="A310">
        <v>309</v>
      </c>
      <c r="B310">
        <f t="shared" si="20"/>
        <v>5654.6999999999989</v>
      </c>
      <c r="C310">
        <f t="shared" si="21"/>
        <v>3392.8199999999993</v>
      </c>
      <c r="D310">
        <f t="shared" si="22"/>
        <v>2261.8799999999997</v>
      </c>
      <c r="E310">
        <f t="shared" si="23"/>
        <v>11340.300000000001</v>
      </c>
      <c r="F310">
        <f t="shared" si="24"/>
        <v>16995</v>
      </c>
    </row>
    <row r="311" spans="1:6" x14ac:dyDescent="0.25">
      <c r="A311">
        <v>310</v>
      </c>
      <c r="B311">
        <f t="shared" si="20"/>
        <v>5672.9999999999991</v>
      </c>
      <c r="C311">
        <f t="shared" si="21"/>
        <v>3403.7999999999993</v>
      </c>
      <c r="D311">
        <f t="shared" si="22"/>
        <v>2269.1999999999998</v>
      </c>
      <c r="E311">
        <f t="shared" si="23"/>
        <v>11377</v>
      </c>
      <c r="F311">
        <f t="shared" si="24"/>
        <v>17050</v>
      </c>
    </row>
    <row r="312" spans="1:6" x14ac:dyDescent="0.25">
      <c r="A312">
        <v>311</v>
      </c>
      <c r="B312">
        <f t="shared" si="20"/>
        <v>5691.2999999999993</v>
      </c>
      <c r="C312">
        <f t="shared" si="21"/>
        <v>3414.7799999999993</v>
      </c>
      <c r="D312">
        <f t="shared" si="22"/>
        <v>2276.52</v>
      </c>
      <c r="E312">
        <f t="shared" si="23"/>
        <v>11413.7</v>
      </c>
      <c r="F312">
        <f t="shared" si="24"/>
        <v>17105</v>
      </c>
    </row>
    <row r="313" spans="1:6" x14ac:dyDescent="0.25">
      <c r="A313">
        <v>312</v>
      </c>
      <c r="B313">
        <f t="shared" si="20"/>
        <v>5709.5999999999995</v>
      </c>
      <c r="C313">
        <f t="shared" si="21"/>
        <v>3425.7599999999998</v>
      </c>
      <c r="D313">
        <f t="shared" si="22"/>
        <v>2283.8399999999997</v>
      </c>
      <c r="E313">
        <f t="shared" si="23"/>
        <v>11450.400000000001</v>
      </c>
      <c r="F313">
        <f t="shared" si="24"/>
        <v>17160</v>
      </c>
    </row>
    <row r="314" spans="1:6" x14ac:dyDescent="0.25">
      <c r="A314">
        <v>313</v>
      </c>
      <c r="B314">
        <f t="shared" si="20"/>
        <v>5727.8999999999987</v>
      </c>
      <c r="C314">
        <f t="shared" si="21"/>
        <v>3436.7399999999993</v>
      </c>
      <c r="D314">
        <f t="shared" si="22"/>
        <v>2291.1599999999994</v>
      </c>
      <c r="E314">
        <f t="shared" si="23"/>
        <v>11487.1</v>
      </c>
      <c r="F314">
        <f t="shared" si="24"/>
        <v>17215</v>
      </c>
    </row>
    <row r="315" spans="1:6" x14ac:dyDescent="0.25">
      <c r="A315">
        <v>314</v>
      </c>
      <c r="B315">
        <f t="shared" si="20"/>
        <v>5746.1999999999989</v>
      </c>
      <c r="C315">
        <f t="shared" si="21"/>
        <v>3447.7199999999993</v>
      </c>
      <c r="D315">
        <f t="shared" si="22"/>
        <v>2298.4799999999996</v>
      </c>
      <c r="E315">
        <f t="shared" si="23"/>
        <v>11523.800000000001</v>
      </c>
      <c r="F315">
        <f t="shared" si="24"/>
        <v>17270</v>
      </c>
    </row>
    <row r="316" spans="1:6" x14ac:dyDescent="0.25">
      <c r="A316">
        <v>315</v>
      </c>
      <c r="B316">
        <f t="shared" si="20"/>
        <v>5764.4999999999991</v>
      </c>
      <c r="C316">
        <f t="shared" si="21"/>
        <v>3458.6999999999994</v>
      </c>
      <c r="D316">
        <f t="shared" si="22"/>
        <v>2305.7999999999997</v>
      </c>
      <c r="E316">
        <f t="shared" si="23"/>
        <v>11560.5</v>
      </c>
      <c r="F316">
        <f t="shared" si="24"/>
        <v>17325</v>
      </c>
    </row>
    <row r="317" spans="1:6" x14ac:dyDescent="0.25">
      <c r="A317">
        <v>316</v>
      </c>
      <c r="B317">
        <f t="shared" si="20"/>
        <v>5782.7999999999993</v>
      </c>
      <c r="C317">
        <f t="shared" si="21"/>
        <v>3469.6799999999994</v>
      </c>
      <c r="D317">
        <f t="shared" si="22"/>
        <v>2313.12</v>
      </c>
      <c r="E317">
        <f t="shared" si="23"/>
        <v>11597.2</v>
      </c>
      <c r="F317">
        <f t="shared" si="24"/>
        <v>17380</v>
      </c>
    </row>
    <row r="318" spans="1:6" x14ac:dyDescent="0.25">
      <c r="A318">
        <v>317</v>
      </c>
      <c r="B318">
        <f t="shared" si="20"/>
        <v>5801.0999999999995</v>
      </c>
      <c r="C318">
        <f t="shared" si="21"/>
        <v>3480.6599999999994</v>
      </c>
      <c r="D318">
        <f t="shared" si="22"/>
        <v>2320.44</v>
      </c>
      <c r="E318">
        <f t="shared" si="23"/>
        <v>11633.900000000001</v>
      </c>
      <c r="F318">
        <f t="shared" si="24"/>
        <v>17435</v>
      </c>
    </row>
    <row r="319" spans="1:6" x14ac:dyDescent="0.25">
      <c r="A319">
        <v>318</v>
      </c>
      <c r="B319">
        <f t="shared" si="20"/>
        <v>5819.3999999999987</v>
      </c>
      <c r="C319">
        <f t="shared" si="21"/>
        <v>3491.639999999999</v>
      </c>
      <c r="D319">
        <f t="shared" si="22"/>
        <v>2327.7599999999998</v>
      </c>
      <c r="E319">
        <f t="shared" si="23"/>
        <v>11670.6</v>
      </c>
      <c r="F319">
        <f t="shared" si="24"/>
        <v>17490</v>
      </c>
    </row>
    <row r="320" spans="1:6" x14ac:dyDescent="0.25">
      <c r="A320">
        <v>319</v>
      </c>
      <c r="B320">
        <f t="shared" si="20"/>
        <v>5837.6999999999989</v>
      </c>
      <c r="C320">
        <f t="shared" si="21"/>
        <v>3502.6199999999994</v>
      </c>
      <c r="D320">
        <f t="shared" si="22"/>
        <v>2335.0799999999995</v>
      </c>
      <c r="E320">
        <f t="shared" si="23"/>
        <v>11707.300000000001</v>
      </c>
      <c r="F320">
        <f t="shared" si="24"/>
        <v>17545</v>
      </c>
    </row>
    <row r="321" spans="1:6" x14ac:dyDescent="0.25">
      <c r="A321">
        <v>320</v>
      </c>
      <c r="B321">
        <f t="shared" si="20"/>
        <v>5855.9999999999991</v>
      </c>
      <c r="C321">
        <f t="shared" si="21"/>
        <v>3513.5999999999995</v>
      </c>
      <c r="D321">
        <f t="shared" si="22"/>
        <v>2342.3999999999996</v>
      </c>
      <c r="E321">
        <f t="shared" si="23"/>
        <v>11744</v>
      </c>
      <c r="F321">
        <f t="shared" si="24"/>
        <v>17600</v>
      </c>
    </row>
    <row r="322" spans="1:6" x14ac:dyDescent="0.25">
      <c r="A322">
        <v>321</v>
      </c>
      <c r="B322">
        <f t="shared" si="20"/>
        <v>5874.2999999999993</v>
      </c>
      <c r="C322">
        <f t="shared" si="21"/>
        <v>3524.5799999999995</v>
      </c>
      <c r="D322">
        <f t="shared" si="22"/>
        <v>2349.7199999999998</v>
      </c>
      <c r="E322">
        <f t="shared" si="23"/>
        <v>11780.7</v>
      </c>
      <c r="F322">
        <f t="shared" si="24"/>
        <v>17655</v>
      </c>
    </row>
    <row r="323" spans="1:6" x14ac:dyDescent="0.25">
      <c r="A323">
        <v>322</v>
      </c>
      <c r="B323">
        <f t="shared" ref="B323:B386" si="25">$L$2*A323</f>
        <v>5892.5999999999995</v>
      </c>
      <c r="C323">
        <f t="shared" ref="C323:C386" si="26">B323*0.6</f>
        <v>3535.5599999999995</v>
      </c>
      <c r="D323">
        <f t="shared" ref="D323:D386" si="27">B323*0.4</f>
        <v>2357.04</v>
      </c>
      <c r="E323">
        <f t="shared" ref="E323:E386" si="28">$J$2*A323</f>
        <v>11817.400000000001</v>
      </c>
      <c r="F323">
        <f t="shared" ref="F323:F386" si="29">E323+B323</f>
        <v>17710</v>
      </c>
    </row>
    <row r="324" spans="1:6" x14ac:dyDescent="0.25">
      <c r="A324">
        <v>323</v>
      </c>
      <c r="B324">
        <f t="shared" si="25"/>
        <v>5910.8999999999987</v>
      </c>
      <c r="C324">
        <f t="shared" si="26"/>
        <v>3546.5399999999991</v>
      </c>
      <c r="D324">
        <f t="shared" si="27"/>
        <v>2364.3599999999997</v>
      </c>
      <c r="E324">
        <f t="shared" si="28"/>
        <v>11854.1</v>
      </c>
      <c r="F324">
        <f t="shared" si="29"/>
        <v>17765</v>
      </c>
    </row>
    <row r="325" spans="1:6" x14ac:dyDescent="0.25">
      <c r="A325">
        <v>324</v>
      </c>
      <c r="B325">
        <f t="shared" si="25"/>
        <v>5929.1999999999989</v>
      </c>
      <c r="C325">
        <f t="shared" si="26"/>
        <v>3557.5199999999991</v>
      </c>
      <c r="D325">
        <f t="shared" si="27"/>
        <v>2371.6799999999998</v>
      </c>
      <c r="E325">
        <f t="shared" si="28"/>
        <v>11890.800000000001</v>
      </c>
      <c r="F325">
        <f t="shared" si="29"/>
        <v>17820</v>
      </c>
    </row>
    <row r="326" spans="1:6" x14ac:dyDescent="0.25">
      <c r="A326">
        <v>325</v>
      </c>
      <c r="B326">
        <f t="shared" si="25"/>
        <v>5947.4999999999991</v>
      </c>
      <c r="C326">
        <f t="shared" si="26"/>
        <v>3568.4999999999995</v>
      </c>
      <c r="D326">
        <f t="shared" si="27"/>
        <v>2378.9999999999995</v>
      </c>
      <c r="E326">
        <f t="shared" si="28"/>
        <v>11927.500000000002</v>
      </c>
      <c r="F326">
        <f t="shared" si="29"/>
        <v>17875</v>
      </c>
    </row>
    <row r="327" spans="1:6" x14ac:dyDescent="0.25">
      <c r="A327">
        <v>326</v>
      </c>
      <c r="B327">
        <f t="shared" si="25"/>
        <v>5965.7999999999993</v>
      </c>
      <c r="C327">
        <f t="shared" si="26"/>
        <v>3579.4799999999996</v>
      </c>
      <c r="D327">
        <f t="shared" si="27"/>
        <v>2386.3199999999997</v>
      </c>
      <c r="E327">
        <f t="shared" si="28"/>
        <v>11964.2</v>
      </c>
      <c r="F327">
        <f t="shared" si="29"/>
        <v>17930</v>
      </c>
    </row>
    <row r="328" spans="1:6" x14ac:dyDescent="0.25">
      <c r="A328">
        <v>327</v>
      </c>
      <c r="B328">
        <f t="shared" si="25"/>
        <v>5984.0999999999995</v>
      </c>
      <c r="C328">
        <f t="shared" si="26"/>
        <v>3590.4599999999996</v>
      </c>
      <c r="D328">
        <f t="shared" si="27"/>
        <v>2393.64</v>
      </c>
      <c r="E328">
        <f t="shared" si="28"/>
        <v>12000.900000000001</v>
      </c>
      <c r="F328">
        <f t="shared" si="29"/>
        <v>17985</v>
      </c>
    </row>
    <row r="329" spans="1:6" x14ac:dyDescent="0.25">
      <c r="A329">
        <v>328</v>
      </c>
      <c r="B329">
        <f t="shared" si="25"/>
        <v>6002.3999999999987</v>
      </c>
      <c r="C329">
        <f t="shared" si="26"/>
        <v>3601.4399999999991</v>
      </c>
      <c r="D329">
        <f t="shared" si="27"/>
        <v>2400.9599999999996</v>
      </c>
      <c r="E329">
        <f t="shared" si="28"/>
        <v>12037.6</v>
      </c>
      <c r="F329">
        <f t="shared" si="29"/>
        <v>18040</v>
      </c>
    </row>
    <row r="330" spans="1:6" x14ac:dyDescent="0.25">
      <c r="A330">
        <v>329</v>
      </c>
      <c r="B330">
        <f t="shared" si="25"/>
        <v>6020.6999999999989</v>
      </c>
      <c r="C330">
        <f t="shared" si="26"/>
        <v>3612.4199999999992</v>
      </c>
      <c r="D330">
        <f t="shared" si="27"/>
        <v>2408.2799999999997</v>
      </c>
      <c r="E330">
        <f t="shared" si="28"/>
        <v>12074.300000000001</v>
      </c>
      <c r="F330">
        <f t="shared" si="29"/>
        <v>18095</v>
      </c>
    </row>
    <row r="331" spans="1:6" x14ac:dyDescent="0.25">
      <c r="A331">
        <v>330</v>
      </c>
      <c r="B331">
        <f t="shared" si="25"/>
        <v>6038.9999999999991</v>
      </c>
      <c r="C331">
        <f t="shared" si="26"/>
        <v>3623.3999999999992</v>
      </c>
      <c r="D331">
        <f t="shared" si="27"/>
        <v>2415.6</v>
      </c>
      <c r="E331">
        <f t="shared" si="28"/>
        <v>12111.000000000002</v>
      </c>
      <c r="F331">
        <f t="shared" si="29"/>
        <v>18150</v>
      </c>
    </row>
    <row r="332" spans="1:6" x14ac:dyDescent="0.25">
      <c r="A332">
        <v>331</v>
      </c>
      <c r="B332">
        <f t="shared" si="25"/>
        <v>6057.2999999999993</v>
      </c>
      <c r="C332">
        <f t="shared" si="26"/>
        <v>3634.3799999999997</v>
      </c>
      <c r="D332">
        <f t="shared" si="27"/>
        <v>2422.9199999999996</v>
      </c>
      <c r="E332">
        <f t="shared" si="28"/>
        <v>12147.7</v>
      </c>
      <c r="F332">
        <f t="shared" si="29"/>
        <v>18205</v>
      </c>
    </row>
    <row r="333" spans="1:6" x14ac:dyDescent="0.25">
      <c r="A333">
        <v>332</v>
      </c>
      <c r="B333">
        <f t="shared" si="25"/>
        <v>6075.5999999999995</v>
      </c>
      <c r="C333">
        <f t="shared" si="26"/>
        <v>3645.3599999999997</v>
      </c>
      <c r="D333">
        <f t="shared" si="27"/>
        <v>2430.2399999999998</v>
      </c>
      <c r="E333">
        <f t="shared" si="28"/>
        <v>12184.400000000001</v>
      </c>
      <c r="F333">
        <f t="shared" si="29"/>
        <v>18260</v>
      </c>
    </row>
    <row r="334" spans="1:6" x14ac:dyDescent="0.25">
      <c r="A334">
        <v>333</v>
      </c>
      <c r="B334">
        <f t="shared" si="25"/>
        <v>6093.8999999999987</v>
      </c>
      <c r="C334">
        <f t="shared" si="26"/>
        <v>3656.3399999999992</v>
      </c>
      <c r="D334">
        <f t="shared" si="27"/>
        <v>2437.5599999999995</v>
      </c>
      <c r="E334">
        <f t="shared" si="28"/>
        <v>12221.1</v>
      </c>
      <c r="F334">
        <f t="shared" si="29"/>
        <v>18315</v>
      </c>
    </row>
    <row r="335" spans="1:6" x14ac:dyDescent="0.25">
      <c r="A335">
        <v>334</v>
      </c>
      <c r="B335">
        <f t="shared" si="25"/>
        <v>6112.1999999999989</v>
      </c>
      <c r="C335">
        <f t="shared" si="26"/>
        <v>3667.3199999999993</v>
      </c>
      <c r="D335">
        <f t="shared" si="27"/>
        <v>2444.8799999999997</v>
      </c>
      <c r="E335">
        <f t="shared" si="28"/>
        <v>12257.800000000001</v>
      </c>
      <c r="F335">
        <f t="shared" si="29"/>
        <v>18370</v>
      </c>
    </row>
    <row r="336" spans="1:6" x14ac:dyDescent="0.25">
      <c r="A336">
        <v>335</v>
      </c>
      <c r="B336">
        <f t="shared" si="25"/>
        <v>6130.4999999999991</v>
      </c>
      <c r="C336">
        <f t="shared" si="26"/>
        <v>3678.2999999999993</v>
      </c>
      <c r="D336">
        <f t="shared" si="27"/>
        <v>2452.1999999999998</v>
      </c>
      <c r="E336">
        <f t="shared" si="28"/>
        <v>12294.500000000002</v>
      </c>
      <c r="F336">
        <f t="shared" si="29"/>
        <v>18425</v>
      </c>
    </row>
    <row r="337" spans="1:6" x14ac:dyDescent="0.25">
      <c r="A337">
        <v>336</v>
      </c>
      <c r="B337">
        <f t="shared" si="25"/>
        <v>6148.7999999999993</v>
      </c>
      <c r="C337">
        <f t="shared" si="26"/>
        <v>3689.2799999999993</v>
      </c>
      <c r="D337">
        <f t="shared" si="27"/>
        <v>2459.52</v>
      </c>
      <c r="E337">
        <f t="shared" si="28"/>
        <v>12331.2</v>
      </c>
      <c r="F337">
        <f t="shared" si="29"/>
        <v>18480</v>
      </c>
    </row>
    <row r="338" spans="1:6" x14ac:dyDescent="0.25">
      <c r="A338">
        <v>337</v>
      </c>
      <c r="B338">
        <f t="shared" si="25"/>
        <v>6167.0999999999995</v>
      </c>
      <c r="C338">
        <f t="shared" si="26"/>
        <v>3700.2599999999993</v>
      </c>
      <c r="D338">
        <f t="shared" si="27"/>
        <v>2466.84</v>
      </c>
      <c r="E338">
        <f t="shared" si="28"/>
        <v>12367.900000000001</v>
      </c>
      <c r="F338">
        <f t="shared" si="29"/>
        <v>18535</v>
      </c>
    </row>
    <row r="339" spans="1:6" x14ac:dyDescent="0.25">
      <c r="A339">
        <v>338</v>
      </c>
      <c r="B339">
        <f t="shared" si="25"/>
        <v>6185.3999999999987</v>
      </c>
      <c r="C339">
        <f t="shared" si="26"/>
        <v>3711.2399999999989</v>
      </c>
      <c r="D339">
        <f t="shared" si="27"/>
        <v>2474.16</v>
      </c>
      <c r="E339">
        <f t="shared" si="28"/>
        <v>12404.6</v>
      </c>
      <c r="F339">
        <f t="shared" si="29"/>
        <v>18590</v>
      </c>
    </row>
    <row r="340" spans="1:6" x14ac:dyDescent="0.25">
      <c r="A340">
        <v>339</v>
      </c>
      <c r="B340">
        <f t="shared" si="25"/>
        <v>6203.6999999999989</v>
      </c>
      <c r="C340">
        <f t="shared" si="26"/>
        <v>3722.2199999999993</v>
      </c>
      <c r="D340">
        <f t="shared" si="27"/>
        <v>2481.4799999999996</v>
      </c>
      <c r="E340">
        <f t="shared" si="28"/>
        <v>12441.300000000001</v>
      </c>
      <c r="F340">
        <f t="shared" si="29"/>
        <v>18645</v>
      </c>
    </row>
    <row r="341" spans="1:6" x14ac:dyDescent="0.25">
      <c r="A341">
        <v>340</v>
      </c>
      <c r="B341">
        <f t="shared" si="25"/>
        <v>6221.9999999999991</v>
      </c>
      <c r="C341">
        <f t="shared" si="26"/>
        <v>3733.1999999999994</v>
      </c>
      <c r="D341">
        <f t="shared" si="27"/>
        <v>2488.7999999999997</v>
      </c>
      <c r="E341">
        <f t="shared" si="28"/>
        <v>12478.000000000002</v>
      </c>
      <c r="F341">
        <f t="shared" si="29"/>
        <v>18700</v>
      </c>
    </row>
    <row r="342" spans="1:6" x14ac:dyDescent="0.25">
      <c r="A342">
        <v>341</v>
      </c>
      <c r="B342">
        <f t="shared" si="25"/>
        <v>6240.2999999999993</v>
      </c>
      <c r="C342">
        <f t="shared" si="26"/>
        <v>3744.1799999999994</v>
      </c>
      <c r="D342">
        <f t="shared" si="27"/>
        <v>2496.12</v>
      </c>
      <c r="E342">
        <f t="shared" si="28"/>
        <v>12514.7</v>
      </c>
      <c r="F342">
        <f t="shared" si="29"/>
        <v>18755</v>
      </c>
    </row>
    <row r="343" spans="1:6" x14ac:dyDescent="0.25">
      <c r="A343">
        <v>342</v>
      </c>
      <c r="B343">
        <f t="shared" si="25"/>
        <v>6258.5999999999995</v>
      </c>
      <c r="C343">
        <f t="shared" si="26"/>
        <v>3755.1599999999994</v>
      </c>
      <c r="D343">
        <f t="shared" si="27"/>
        <v>2503.44</v>
      </c>
      <c r="E343">
        <f t="shared" si="28"/>
        <v>12551.400000000001</v>
      </c>
      <c r="F343">
        <f t="shared" si="29"/>
        <v>18810</v>
      </c>
    </row>
    <row r="344" spans="1:6" x14ac:dyDescent="0.25">
      <c r="A344">
        <v>343</v>
      </c>
      <c r="B344">
        <f t="shared" si="25"/>
        <v>6276.8999999999987</v>
      </c>
      <c r="C344">
        <f t="shared" si="26"/>
        <v>3766.139999999999</v>
      </c>
      <c r="D344">
        <f t="shared" si="27"/>
        <v>2510.7599999999998</v>
      </c>
      <c r="E344">
        <f t="shared" si="28"/>
        <v>12588.1</v>
      </c>
      <c r="F344">
        <f t="shared" si="29"/>
        <v>18865</v>
      </c>
    </row>
    <row r="345" spans="1:6" x14ac:dyDescent="0.25">
      <c r="A345">
        <v>344</v>
      </c>
      <c r="B345">
        <f t="shared" si="25"/>
        <v>6295.1999999999989</v>
      </c>
      <c r="C345">
        <f t="shared" si="26"/>
        <v>3777.119999999999</v>
      </c>
      <c r="D345">
        <f t="shared" si="27"/>
        <v>2518.08</v>
      </c>
      <c r="E345">
        <f t="shared" si="28"/>
        <v>12624.800000000001</v>
      </c>
      <c r="F345">
        <f t="shared" si="29"/>
        <v>18920</v>
      </c>
    </row>
    <row r="346" spans="1:6" x14ac:dyDescent="0.25">
      <c r="A346">
        <v>345</v>
      </c>
      <c r="B346">
        <f t="shared" si="25"/>
        <v>6313.4999999999991</v>
      </c>
      <c r="C346">
        <f t="shared" si="26"/>
        <v>3788.0999999999995</v>
      </c>
      <c r="D346">
        <f t="shared" si="27"/>
        <v>2525.3999999999996</v>
      </c>
      <c r="E346">
        <f t="shared" si="28"/>
        <v>12661.500000000002</v>
      </c>
      <c r="F346">
        <f t="shared" si="29"/>
        <v>18975</v>
      </c>
    </row>
    <row r="347" spans="1:6" x14ac:dyDescent="0.25">
      <c r="A347">
        <v>346</v>
      </c>
      <c r="B347">
        <f t="shared" si="25"/>
        <v>6331.7999999999993</v>
      </c>
      <c r="C347">
        <f t="shared" si="26"/>
        <v>3799.0799999999995</v>
      </c>
      <c r="D347">
        <f t="shared" si="27"/>
        <v>2532.7199999999998</v>
      </c>
      <c r="E347">
        <f t="shared" si="28"/>
        <v>12698.2</v>
      </c>
      <c r="F347">
        <f t="shared" si="29"/>
        <v>19030</v>
      </c>
    </row>
    <row r="348" spans="1:6" x14ac:dyDescent="0.25">
      <c r="A348">
        <v>347</v>
      </c>
      <c r="B348">
        <f t="shared" si="25"/>
        <v>6350.0999999999995</v>
      </c>
      <c r="C348">
        <f t="shared" si="26"/>
        <v>3810.0599999999995</v>
      </c>
      <c r="D348">
        <f t="shared" si="27"/>
        <v>2540.04</v>
      </c>
      <c r="E348">
        <f t="shared" si="28"/>
        <v>12734.900000000001</v>
      </c>
      <c r="F348">
        <f t="shared" si="29"/>
        <v>19085</v>
      </c>
    </row>
    <row r="349" spans="1:6" x14ac:dyDescent="0.25">
      <c r="A349">
        <v>348</v>
      </c>
      <c r="B349">
        <f t="shared" si="25"/>
        <v>6368.3999999999987</v>
      </c>
      <c r="C349">
        <f t="shared" si="26"/>
        <v>3821.0399999999991</v>
      </c>
      <c r="D349">
        <f t="shared" si="27"/>
        <v>2547.3599999999997</v>
      </c>
      <c r="E349">
        <f t="shared" si="28"/>
        <v>12771.6</v>
      </c>
      <c r="F349">
        <f t="shared" si="29"/>
        <v>19140</v>
      </c>
    </row>
    <row r="350" spans="1:6" x14ac:dyDescent="0.25">
      <c r="A350">
        <v>349</v>
      </c>
      <c r="B350">
        <f t="shared" si="25"/>
        <v>6386.6999999999989</v>
      </c>
      <c r="C350">
        <f t="shared" si="26"/>
        <v>3832.0199999999991</v>
      </c>
      <c r="D350">
        <f t="shared" si="27"/>
        <v>2554.6799999999998</v>
      </c>
      <c r="E350">
        <f t="shared" si="28"/>
        <v>12808.300000000001</v>
      </c>
      <c r="F350">
        <f t="shared" si="29"/>
        <v>19195</v>
      </c>
    </row>
    <row r="351" spans="1:6" x14ac:dyDescent="0.25">
      <c r="A351">
        <v>350</v>
      </c>
      <c r="B351">
        <f t="shared" si="25"/>
        <v>6404.9999999999991</v>
      </c>
      <c r="C351">
        <f t="shared" si="26"/>
        <v>3842.9999999999991</v>
      </c>
      <c r="D351">
        <f t="shared" si="27"/>
        <v>2562</v>
      </c>
      <c r="E351">
        <f t="shared" si="28"/>
        <v>12845.000000000002</v>
      </c>
      <c r="F351">
        <f t="shared" si="29"/>
        <v>19250</v>
      </c>
    </row>
    <row r="352" spans="1:6" x14ac:dyDescent="0.25">
      <c r="A352">
        <v>351</v>
      </c>
      <c r="B352">
        <f t="shared" si="25"/>
        <v>6423.2999999999993</v>
      </c>
      <c r="C352">
        <f t="shared" si="26"/>
        <v>3853.9799999999996</v>
      </c>
      <c r="D352">
        <f t="shared" si="27"/>
        <v>2569.3199999999997</v>
      </c>
      <c r="E352">
        <f t="shared" si="28"/>
        <v>12881.7</v>
      </c>
      <c r="F352">
        <f t="shared" si="29"/>
        <v>19305</v>
      </c>
    </row>
    <row r="353" spans="1:6" x14ac:dyDescent="0.25">
      <c r="A353">
        <v>352</v>
      </c>
      <c r="B353">
        <f t="shared" si="25"/>
        <v>6441.5999999999985</v>
      </c>
      <c r="C353">
        <f t="shared" si="26"/>
        <v>3864.9599999999991</v>
      </c>
      <c r="D353">
        <f t="shared" si="27"/>
        <v>2576.6399999999994</v>
      </c>
      <c r="E353">
        <f t="shared" si="28"/>
        <v>12918.400000000001</v>
      </c>
      <c r="F353">
        <f t="shared" si="29"/>
        <v>19360</v>
      </c>
    </row>
    <row r="354" spans="1:6" x14ac:dyDescent="0.25">
      <c r="A354">
        <v>353</v>
      </c>
      <c r="B354">
        <f t="shared" si="25"/>
        <v>6459.8999999999987</v>
      </c>
      <c r="C354">
        <f t="shared" si="26"/>
        <v>3875.9399999999991</v>
      </c>
      <c r="D354">
        <f t="shared" si="27"/>
        <v>2583.9599999999996</v>
      </c>
      <c r="E354">
        <f t="shared" si="28"/>
        <v>12955.1</v>
      </c>
      <c r="F354">
        <f t="shared" si="29"/>
        <v>19415</v>
      </c>
    </row>
    <row r="355" spans="1:6" x14ac:dyDescent="0.25">
      <c r="A355">
        <v>354</v>
      </c>
      <c r="B355">
        <f t="shared" si="25"/>
        <v>6478.1999999999989</v>
      </c>
      <c r="C355">
        <f t="shared" si="26"/>
        <v>3886.9199999999992</v>
      </c>
      <c r="D355">
        <f t="shared" si="27"/>
        <v>2591.2799999999997</v>
      </c>
      <c r="E355">
        <f t="shared" si="28"/>
        <v>12991.800000000001</v>
      </c>
      <c r="F355">
        <f t="shared" si="29"/>
        <v>19470</v>
      </c>
    </row>
    <row r="356" spans="1:6" x14ac:dyDescent="0.25">
      <c r="A356">
        <v>355</v>
      </c>
      <c r="B356">
        <f t="shared" si="25"/>
        <v>6496.4999999999991</v>
      </c>
      <c r="C356">
        <f t="shared" si="26"/>
        <v>3897.8999999999992</v>
      </c>
      <c r="D356">
        <f t="shared" si="27"/>
        <v>2598.6</v>
      </c>
      <c r="E356">
        <f t="shared" si="28"/>
        <v>13028.500000000002</v>
      </c>
      <c r="F356">
        <f t="shared" si="29"/>
        <v>19525</v>
      </c>
    </row>
    <row r="357" spans="1:6" x14ac:dyDescent="0.25">
      <c r="A357">
        <v>356</v>
      </c>
      <c r="B357">
        <f t="shared" si="25"/>
        <v>6514.7999999999993</v>
      </c>
      <c r="C357">
        <f t="shared" si="26"/>
        <v>3908.8799999999992</v>
      </c>
      <c r="D357">
        <f t="shared" si="27"/>
        <v>2605.92</v>
      </c>
      <c r="E357">
        <f t="shared" si="28"/>
        <v>13065.2</v>
      </c>
      <c r="F357">
        <f t="shared" si="29"/>
        <v>19580</v>
      </c>
    </row>
    <row r="358" spans="1:6" x14ac:dyDescent="0.25">
      <c r="A358">
        <v>357</v>
      </c>
      <c r="B358">
        <f t="shared" si="25"/>
        <v>6533.0999999999985</v>
      </c>
      <c r="C358">
        <f t="shared" si="26"/>
        <v>3919.8599999999988</v>
      </c>
      <c r="D358">
        <f t="shared" si="27"/>
        <v>2613.2399999999998</v>
      </c>
      <c r="E358">
        <f t="shared" si="28"/>
        <v>13101.900000000001</v>
      </c>
      <c r="F358">
        <f t="shared" si="29"/>
        <v>19635</v>
      </c>
    </row>
    <row r="359" spans="1:6" x14ac:dyDescent="0.25">
      <c r="A359">
        <v>358</v>
      </c>
      <c r="B359">
        <f t="shared" si="25"/>
        <v>6551.3999999999987</v>
      </c>
      <c r="C359">
        <f t="shared" si="26"/>
        <v>3930.8399999999992</v>
      </c>
      <c r="D359">
        <f t="shared" si="27"/>
        <v>2620.5599999999995</v>
      </c>
      <c r="E359">
        <f t="shared" si="28"/>
        <v>13138.6</v>
      </c>
      <c r="F359">
        <f t="shared" si="29"/>
        <v>19690</v>
      </c>
    </row>
    <row r="360" spans="1:6" x14ac:dyDescent="0.25">
      <c r="A360">
        <v>359</v>
      </c>
      <c r="B360">
        <f t="shared" si="25"/>
        <v>6569.6999999999989</v>
      </c>
      <c r="C360">
        <f t="shared" si="26"/>
        <v>3941.8199999999993</v>
      </c>
      <c r="D360">
        <f t="shared" si="27"/>
        <v>2627.8799999999997</v>
      </c>
      <c r="E360">
        <f t="shared" si="28"/>
        <v>13175.300000000001</v>
      </c>
      <c r="F360">
        <f t="shared" si="29"/>
        <v>19745</v>
      </c>
    </row>
    <row r="361" spans="1:6" x14ac:dyDescent="0.25">
      <c r="A361">
        <v>360</v>
      </c>
      <c r="B361">
        <f t="shared" si="25"/>
        <v>6587.9999999999991</v>
      </c>
      <c r="C361">
        <f t="shared" si="26"/>
        <v>3952.7999999999993</v>
      </c>
      <c r="D361">
        <f t="shared" si="27"/>
        <v>2635.2</v>
      </c>
      <c r="E361">
        <f t="shared" si="28"/>
        <v>13212.000000000002</v>
      </c>
      <c r="F361">
        <f t="shared" si="29"/>
        <v>19800</v>
      </c>
    </row>
    <row r="362" spans="1:6" x14ac:dyDescent="0.25">
      <c r="A362">
        <v>361</v>
      </c>
      <c r="B362">
        <f t="shared" si="25"/>
        <v>6606.2999999999993</v>
      </c>
      <c r="C362">
        <f t="shared" si="26"/>
        <v>3963.7799999999993</v>
      </c>
      <c r="D362">
        <f t="shared" si="27"/>
        <v>2642.52</v>
      </c>
      <c r="E362">
        <f t="shared" si="28"/>
        <v>13248.7</v>
      </c>
      <c r="F362">
        <f t="shared" si="29"/>
        <v>19855</v>
      </c>
    </row>
    <row r="363" spans="1:6" x14ac:dyDescent="0.25">
      <c r="A363">
        <v>362</v>
      </c>
      <c r="B363">
        <f t="shared" si="25"/>
        <v>6624.5999999999985</v>
      </c>
      <c r="C363">
        <f t="shared" si="26"/>
        <v>3974.7599999999989</v>
      </c>
      <c r="D363">
        <f t="shared" si="27"/>
        <v>2649.8399999999997</v>
      </c>
      <c r="E363">
        <f t="shared" si="28"/>
        <v>13285.400000000001</v>
      </c>
      <c r="F363">
        <f t="shared" si="29"/>
        <v>19910</v>
      </c>
    </row>
    <row r="364" spans="1:6" x14ac:dyDescent="0.25">
      <c r="A364">
        <v>363</v>
      </c>
      <c r="B364">
        <f t="shared" si="25"/>
        <v>6642.8999999999987</v>
      </c>
      <c r="C364">
        <f t="shared" si="26"/>
        <v>3985.7399999999989</v>
      </c>
      <c r="D364">
        <f t="shared" si="27"/>
        <v>2657.16</v>
      </c>
      <c r="E364">
        <f t="shared" si="28"/>
        <v>13322.1</v>
      </c>
      <c r="F364">
        <f t="shared" si="29"/>
        <v>19965</v>
      </c>
    </row>
    <row r="365" spans="1:6" x14ac:dyDescent="0.25">
      <c r="A365">
        <v>364</v>
      </c>
      <c r="B365">
        <f t="shared" si="25"/>
        <v>6661.1999999999989</v>
      </c>
      <c r="C365">
        <f t="shared" si="26"/>
        <v>3996.7199999999993</v>
      </c>
      <c r="D365">
        <f t="shared" si="27"/>
        <v>2664.4799999999996</v>
      </c>
      <c r="E365">
        <f t="shared" si="28"/>
        <v>13358.800000000001</v>
      </c>
      <c r="F365">
        <f t="shared" si="29"/>
        <v>20020</v>
      </c>
    </row>
    <row r="366" spans="1:6" x14ac:dyDescent="0.25">
      <c r="A366">
        <v>365</v>
      </c>
      <c r="B366">
        <f t="shared" si="25"/>
        <v>6679.4999999999991</v>
      </c>
      <c r="C366">
        <f t="shared" si="26"/>
        <v>4007.6999999999994</v>
      </c>
      <c r="D366">
        <f t="shared" si="27"/>
        <v>2671.7999999999997</v>
      </c>
      <c r="E366">
        <f t="shared" si="28"/>
        <v>13395.500000000002</v>
      </c>
      <c r="F366">
        <f t="shared" si="29"/>
        <v>20075</v>
      </c>
    </row>
    <row r="367" spans="1:6" x14ac:dyDescent="0.25">
      <c r="A367">
        <v>366</v>
      </c>
      <c r="B367">
        <f t="shared" si="25"/>
        <v>6697.7999999999993</v>
      </c>
      <c r="C367">
        <f t="shared" si="26"/>
        <v>4018.6799999999994</v>
      </c>
      <c r="D367">
        <f t="shared" si="27"/>
        <v>2679.12</v>
      </c>
      <c r="E367">
        <f t="shared" si="28"/>
        <v>13432.2</v>
      </c>
      <c r="F367">
        <f t="shared" si="29"/>
        <v>20130</v>
      </c>
    </row>
    <row r="368" spans="1:6" x14ac:dyDescent="0.25">
      <c r="A368">
        <v>367</v>
      </c>
      <c r="B368">
        <f t="shared" si="25"/>
        <v>6716.0999999999985</v>
      </c>
      <c r="C368">
        <f t="shared" si="26"/>
        <v>4029.6599999999989</v>
      </c>
      <c r="D368">
        <f t="shared" si="27"/>
        <v>2686.4399999999996</v>
      </c>
      <c r="E368">
        <f t="shared" si="28"/>
        <v>13468.900000000001</v>
      </c>
      <c r="F368">
        <f t="shared" si="29"/>
        <v>20185</v>
      </c>
    </row>
    <row r="369" spans="1:6" x14ac:dyDescent="0.25">
      <c r="A369">
        <v>368</v>
      </c>
      <c r="B369">
        <f t="shared" si="25"/>
        <v>6734.3999999999987</v>
      </c>
      <c r="C369">
        <f t="shared" si="26"/>
        <v>4040.639999999999</v>
      </c>
      <c r="D369">
        <f t="shared" si="27"/>
        <v>2693.7599999999998</v>
      </c>
      <c r="E369">
        <f t="shared" si="28"/>
        <v>13505.6</v>
      </c>
      <c r="F369">
        <f t="shared" si="29"/>
        <v>20240</v>
      </c>
    </row>
    <row r="370" spans="1:6" x14ac:dyDescent="0.25">
      <c r="A370">
        <v>369</v>
      </c>
      <c r="B370">
        <f t="shared" si="25"/>
        <v>6752.6999999999989</v>
      </c>
      <c r="C370">
        <f t="shared" si="26"/>
        <v>4051.619999999999</v>
      </c>
      <c r="D370">
        <f t="shared" si="27"/>
        <v>2701.08</v>
      </c>
      <c r="E370">
        <f t="shared" si="28"/>
        <v>13542.300000000001</v>
      </c>
      <c r="F370">
        <f t="shared" si="29"/>
        <v>20295</v>
      </c>
    </row>
    <row r="371" spans="1:6" x14ac:dyDescent="0.25">
      <c r="A371">
        <v>370</v>
      </c>
      <c r="B371">
        <f t="shared" si="25"/>
        <v>6770.9999999999991</v>
      </c>
      <c r="C371">
        <f t="shared" si="26"/>
        <v>4062.5999999999995</v>
      </c>
      <c r="D371">
        <f t="shared" si="27"/>
        <v>2708.3999999999996</v>
      </c>
      <c r="E371">
        <f t="shared" si="28"/>
        <v>13579.000000000002</v>
      </c>
      <c r="F371">
        <f t="shared" si="29"/>
        <v>20350</v>
      </c>
    </row>
    <row r="372" spans="1:6" x14ac:dyDescent="0.25">
      <c r="A372">
        <v>371</v>
      </c>
      <c r="B372">
        <f t="shared" si="25"/>
        <v>6789.2999999999993</v>
      </c>
      <c r="C372">
        <f t="shared" si="26"/>
        <v>4073.5799999999995</v>
      </c>
      <c r="D372">
        <f t="shared" si="27"/>
        <v>2715.72</v>
      </c>
      <c r="E372">
        <f t="shared" si="28"/>
        <v>13615.7</v>
      </c>
      <c r="F372">
        <f t="shared" si="29"/>
        <v>20405</v>
      </c>
    </row>
    <row r="373" spans="1:6" x14ac:dyDescent="0.25">
      <c r="A373">
        <v>372</v>
      </c>
      <c r="B373">
        <f t="shared" si="25"/>
        <v>6807.5999999999985</v>
      </c>
      <c r="C373">
        <f t="shared" si="26"/>
        <v>4084.559999999999</v>
      </c>
      <c r="D373">
        <f t="shared" si="27"/>
        <v>2723.0399999999995</v>
      </c>
      <c r="E373">
        <f t="shared" si="28"/>
        <v>13652.400000000001</v>
      </c>
      <c r="F373">
        <f t="shared" si="29"/>
        <v>20460</v>
      </c>
    </row>
    <row r="374" spans="1:6" x14ac:dyDescent="0.25">
      <c r="A374">
        <v>373</v>
      </c>
      <c r="B374">
        <f t="shared" si="25"/>
        <v>6825.8999999999987</v>
      </c>
      <c r="C374">
        <f t="shared" si="26"/>
        <v>4095.5399999999991</v>
      </c>
      <c r="D374">
        <f t="shared" si="27"/>
        <v>2730.3599999999997</v>
      </c>
      <c r="E374">
        <f t="shared" si="28"/>
        <v>13689.1</v>
      </c>
      <c r="F374">
        <f t="shared" si="29"/>
        <v>20515</v>
      </c>
    </row>
    <row r="375" spans="1:6" x14ac:dyDescent="0.25">
      <c r="A375">
        <v>374</v>
      </c>
      <c r="B375">
        <f t="shared" si="25"/>
        <v>6844.1999999999989</v>
      </c>
      <c r="C375">
        <f t="shared" si="26"/>
        <v>4106.5199999999995</v>
      </c>
      <c r="D375">
        <f t="shared" si="27"/>
        <v>2737.68</v>
      </c>
      <c r="E375">
        <f t="shared" si="28"/>
        <v>13725.800000000001</v>
      </c>
      <c r="F375">
        <f t="shared" si="29"/>
        <v>20570</v>
      </c>
    </row>
    <row r="376" spans="1:6" x14ac:dyDescent="0.25">
      <c r="A376">
        <v>375</v>
      </c>
      <c r="B376">
        <f t="shared" si="25"/>
        <v>6862.4999999999991</v>
      </c>
      <c r="C376">
        <f t="shared" si="26"/>
        <v>4117.4999999999991</v>
      </c>
      <c r="D376">
        <f t="shared" si="27"/>
        <v>2745</v>
      </c>
      <c r="E376">
        <f t="shared" si="28"/>
        <v>13762.500000000002</v>
      </c>
      <c r="F376">
        <f t="shared" si="29"/>
        <v>20625</v>
      </c>
    </row>
    <row r="377" spans="1:6" x14ac:dyDescent="0.25">
      <c r="A377">
        <v>376</v>
      </c>
      <c r="B377">
        <f t="shared" si="25"/>
        <v>6880.7999999999993</v>
      </c>
      <c r="C377">
        <f t="shared" si="26"/>
        <v>4128.4799999999996</v>
      </c>
      <c r="D377">
        <f t="shared" si="27"/>
        <v>2752.3199999999997</v>
      </c>
      <c r="E377">
        <f t="shared" si="28"/>
        <v>13799.2</v>
      </c>
      <c r="F377">
        <f t="shared" si="29"/>
        <v>20680</v>
      </c>
    </row>
    <row r="378" spans="1:6" x14ac:dyDescent="0.25">
      <c r="A378">
        <v>377</v>
      </c>
      <c r="B378">
        <f t="shared" si="25"/>
        <v>6899.0999999999985</v>
      </c>
      <c r="C378">
        <f t="shared" si="26"/>
        <v>4139.4599999999991</v>
      </c>
      <c r="D378">
        <f t="shared" si="27"/>
        <v>2759.6399999999994</v>
      </c>
      <c r="E378">
        <f t="shared" si="28"/>
        <v>13835.900000000001</v>
      </c>
      <c r="F378">
        <f t="shared" si="29"/>
        <v>20735</v>
      </c>
    </row>
    <row r="379" spans="1:6" x14ac:dyDescent="0.25">
      <c r="A379">
        <v>378</v>
      </c>
      <c r="B379">
        <f t="shared" si="25"/>
        <v>6917.3999999999987</v>
      </c>
      <c r="C379">
        <f t="shared" si="26"/>
        <v>4150.4399999999987</v>
      </c>
      <c r="D379">
        <f t="shared" si="27"/>
        <v>2766.9599999999996</v>
      </c>
      <c r="E379">
        <f t="shared" si="28"/>
        <v>13872.6</v>
      </c>
      <c r="F379">
        <f t="shared" si="29"/>
        <v>20790</v>
      </c>
    </row>
    <row r="380" spans="1:6" x14ac:dyDescent="0.25">
      <c r="A380">
        <v>379</v>
      </c>
      <c r="B380">
        <f t="shared" si="25"/>
        <v>6935.6999999999989</v>
      </c>
      <c r="C380">
        <f t="shared" si="26"/>
        <v>4161.4199999999992</v>
      </c>
      <c r="D380">
        <f t="shared" si="27"/>
        <v>2774.2799999999997</v>
      </c>
      <c r="E380">
        <f t="shared" si="28"/>
        <v>13909.300000000001</v>
      </c>
      <c r="F380">
        <f t="shared" si="29"/>
        <v>20845</v>
      </c>
    </row>
    <row r="381" spans="1:6" x14ac:dyDescent="0.25">
      <c r="A381">
        <v>380</v>
      </c>
      <c r="B381">
        <f t="shared" si="25"/>
        <v>6953.9999999999991</v>
      </c>
      <c r="C381">
        <f t="shared" si="26"/>
        <v>4172.3999999999996</v>
      </c>
      <c r="D381">
        <f t="shared" si="27"/>
        <v>2781.6</v>
      </c>
      <c r="E381">
        <f t="shared" si="28"/>
        <v>13946.000000000002</v>
      </c>
      <c r="F381">
        <f t="shared" si="29"/>
        <v>20900</v>
      </c>
    </row>
    <row r="382" spans="1:6" x14ac:dyDescent="0.25">
      <c r="A382">
        <v>381</v>
      </c>
      <c r="B382">
        <f t="shared" si="25"/>
        <v>6972.2999999999993</v>
      </c>
      <c r="C382">
        <f t="shared" si="26"/>
        <v>4183.3799999999992</v>
      </c>
      <c r="D382">
        <f t="shared" si="27"/>
        <v>2788.92</v>
      </c>
      <c r="E382">
        <f t="shared" si="28"/>
        <v>13982.7</v>
      </c>
      <c r="F382">
        <f t="shared" si="29"/>
        <v>20955</v>
      </c>
    </row>
    <row r="383" spans="1:6" x14ac:dyDescent="0.25">
      <c r="A383">
        <v>382</v>
      </c>
      <c r="B383">
        <f t="shared" si="25"/>
        <v>6990.5999999999985</v>
      </c>
      <c r="C383">
        <f t="shared" si="26"/>
        <v>4194.3599999999988</v>
      </c>
      <c r="D383">
        <f t="shared" si="27"/>
        <v>2796.24</v>
      </c>
      <c r="E383">
        <f t="shared" si="28"/>
        <v>14019.400000000001</v>
      </c>
      <c r="F383">
        <f t="shared" si="29"/>
        <v>21010</v>
      </c>
    </row>
    <row r="384" spans="1:6" x14ac:dyDescent="0.25">
      <c r="A384">
        <v>383</v>
      </c>
      <c r="B384">
        <f t="shared" si="25"/>
        <v>7008.8999999999987</v>
      </c>
      <c r="C384">
        <f t="shared" si="26"/>
        <v>4205.3399999999992</v>
      </c>
      <c r="D384">
        <f t="shared" si="27"/>
        <v>2803.5599999999995</v>
      </c>
      <c r="E384">
        <f t="shared" si="28"/>
        <v>14056.1</v>
      </c>
      <c r="F384">
        <f t="shared" si="29"/>
        <v>21065</v>
      </c>
    </row>
    <row r="385" spans="1:6" x14ac:dyDescent="0.25">
      <c r="A385">
        <v>384</v>
      </c>
      <c r="B385">
        <f t="shared" si="25"/>
        <v>7027.1999999999989</v>
      </c>
      <c r="C385">
        <f t="shared" si="26"/>
        <v>4216.3199999999988</v>
      </c>
      <c r="D385">
        <f t="shared" si="27"/>
        <v>2810.8799999999997</v>
      </c>
      <c r="E385">
        <f t="shared" si="28"/>
        <v>14092.800000000001</v>
      </c>
      <c r="F385">
        <f t="shared" si="29"/>
        <v>21120</v>
      </c>
    </row>
    <row r="386" spans="1:6" x14ac:dyDescent="0.25">
      <c r="A386">
        <v>385</v>
      </c>
      <c r="B386">
        <f t="shared" si="25"/>
        <v>7045.4999999999991</v>
      </c>
      <c r="C386">
        <f t="shared" si="26"/>
        <v>4227.2999999999993</v>
      </c>
      <c r="D386">
        <f t="shared" si="27"/>
        <v>2818.2</v>
      </c>
      <c r="E386">
        <f t="shared" si="28"/>
        <v>14129.500000000002</v>
      </c>
      <c r="F386">
        <f t="shared" si="29"/>
        <v>21175</v>
      </c>
    </row>
    <row r="387" spans="1:6" x14ac:dyDescent="0.25">
      <c r="A387">
        <v>386</v>
      </c>
      <c r="B387">
        <f t="shared" ref="B387:B450" si="30">$L$2*A387</f>
        <v>7063.7999999999993</v>
      </c>
      <c r="C387">
        <f t="shared" ref="C387:C450" si="31">B387*0.6</f>
        <v>4238.28</v>
      </c>
      <c r="D387">
        <f t="shared" ref="D387:D450" si="32">B387*0.4</f>
        <v>2825.52</v>
      </c>
      <c r="E387">
        <f t="shared" ref="E387:E450" si="33">$J$2*A387</f>
        <v>14166.2</v>
      </c>
      <c r="F387">
        <f t="shared" ref="F387:F450" si="34">E387+B387</f>
        <v>21230</v>
      </c>
    </row>
    <row r="388" spans="1:6" x14ac:dyDescent="0.25">
      <c r="A388">
        <v>387</v>
      </c>
      <c r="B388">
        <f t="shared" si="30"/>
        <v>7082.0999999999985</v>
      </c>
      <c r="C388">
        <f t="shared" si="31"/>
        <v>4249.2599999999993</v>
      </c>
      <c r="D388">
        <f t="shared" si="32"/>
        <v>2832.8399999999997</v>
      </c>
      <c r="E388">
        <f t="shared" si="33"/>
        <v>14202.900000000001</v>
      </c>
      <c r="F388">
        <f t="shared" si="34"/>
        <v>21285</v>
      </c>
    </row>
    <row r="389" spans="1:6" x14ac:dyDescent="0.25">
      <c r="A389">
        <v>388</v>
      </c>
      <c r="B389">
        <f t="shared" si="30"/>
        <v>7100.3999999999987</v>
      </c>
      <c r="C389">
        <f t="shared" si="31"/>
        <v>4260.2399999999989</v>
      </c>
      <c r="D389">
        <f t="shared" si="32"/>
        <v>2840.16</v>
      </c>
      <c r="E389">
        <f t="shared" si="33"/>
        <v>14239.6</v>
      </c>
      <c r="F389">
        <f t="shared" si="34"/>
        <v>21340</v>
      </c>
    </row>
    <row r="390" spans="1:6" x14ac:dyDescent="0.25">
      <c r="A390">
        <v>389</v>
      </c>
      <c r="B390">
        <f t="shared" si="30"/>
        <v>7118.6999999999989</v>
      </c>
      <c r="C390">
        <f t="shared" si="31"/>
        <v>4271.2199999999993</v>
      </c>
      <c r="D390">
        <f t="shared" si="32"/>
        <v>2847.4799999999996</v>
      </c>
      <c r="E390">
        <f t="shared" si="33"/>
        <v>14276.300000000001</v>
      </c>
      <c r="F390">
        <f t="shared" si="34"/>
        <v>21395</v>
      </c>
    </row>
    <row r="391" spans="1:6" x14ac:dyDescent="0.25">
      <c r="A391">
        <v>390</v>
      </c>
      <c r="B391">
        <f t="shared" si="30"/>
        <v>7136.9999999999991</v>
      </c>
      <c r="C391">
        <f t="shared" si="31"/>
        <v>4282.1999999999989</v>
      </c>
      <c r="D391">
        <f t="shared" si="32"/>
        <v>2854.7999999999997</v>
      </c>
      <c r="E391">
        <f t="shared" si="33"/>
        <v>14313.000000000002</v>
      </c>
      <c r="F391">
        <f t="shared" si="34"/>
        <v>21450</v>
      </c>
    </row>
    <row r="392" spans="1:6" x14ac:dyDescent="0.25">
      <c r="A392">
        <v>391</v>
      </c>
      <c r="B392">
        <f t="shared" si="30"/>
        <v>7155.2999999999993</v>
      </c>
      <c r="C392">
        <f t="shared" si="31"/>
        <v>4293.1799999999994</v>
      </c>
      <c r="D392">
        <f t="shared" si="32"/>
        <v>2862.12</v>
      </c>
      <c r="E392">
        <f t="shared" si="33"/>
        <v>14349.7</v>
      </c>
      <c r="F392">
        <f t="shared" si="34"/>
        <v>21505</v>
      </c>
    </row>
    <row r="393" spans="1:6" x14ac:dyDescent="0.25">
      <c r="A393">
        <v>392</v>
      </c>
      <c r="B393">
        <f t="shared" si="30"/>
        <v>7173.5999999999985</v>
      </c>
      <c r="C393">
        <f t="shared" si="31"/>
        <v>4304.1599999999989</v>
      </c>
      <c r="D393">
        <f t="shared" si="32"/>
        <v>2869.4399999999996</v>
      </c>
      <c r="E393">
        <f t="shared" si="33"/>
        <v>14386.400000000001</v>
      </c>
      <c r="F393">
        <f t="shared" si="34"/>
        <v>21560</v>
      </c>
    </row>
    <row r="394" spans="1:6" x14ac:dyDescent="0.25">
      <c r="A394">
        <v>393</v>
      </c>
      <c r="B394">
        <f t="shared" si="30"/>
        <v>7191.8999999999987</v>
      </c>
      <c r="C394">
        <f t="shared" si="31"/>
        <v>4315.1399999999994</v>
      </c>
      <c r="D394">
        <f t="shared" si="32"/>
        <v>2876.7599999999998</v>
      </c>
      <c r="E394">
        <f t="shared" si="33"/>
        <v>14423.1</v>
      </c>
      <c r="F394">
        <f t="shared" si="34"/>
        <v>21615</v>
      </c>
    </row>
    <row r="395" spans="1:6" x14ac:dyDescent="0.25">
      <c r="A395">
        <v>394</v>
      </c>
      <c r="B395">
        <f t="shared" si="30"/>
        <v>7210.1999999999989</v>
      </c>
      <c r="C395">
        <f t="shared" si="31"/>
        <v>4326.119999999999</v>
      </c>
      <c r="D395">
        <f t="shared" si="32"/>
        <v>2884.08</v>
      </c>
      <c r="E395">
        <f t="shared" si="33"/>
        <v>14459.800000000001</v>
      </c>
      <c r="F395">
        <f t="shared" si="34"/>
        <v>21670</v>
      </c>
    </row>
    <row r="396" spans="1:6" x14ac:dyDescent="0.25">
      <c r="A396">
        <v>395</v>
      </c>
      <c r="B396">
        <f t="shared" si="30"/>
        <v>7228.4999999999991</v>
      </c>
      <c r="C396">
        <f t="shared" si="31"/>
        <v>4337.0999999999995</v>
      </c>
      <c r="D396">
        <f t="shared" si="32"/>
        <v>2891.3999999999996</v>
      </c>
      <c r="E396">
        <f t="shared" si="33"/>
        <v>14496.500000000002</v>
      </c>
      <c r="F396">
        <f t="shared" si="34"/>
        <v>21725</v>
      </c>
    </row>
    <row r="397" spans="1:6" x14ac:dyDescent="0.25">
      <c r="A397">
        <v>396</v>
      </c>
      <c r="B397">
        <f t="shared" si="30"/>
        <v>7246.7999999999993</v>
      </c>
      <c r="C397">
        <f t="shared" si="31"/>
        <v>4348.079999999999</v>
      </c>
      <c r="D397">
        <f t="shared" si="32"/>
        <v>2898.72</v>
      </c>
      <c r="E397">
        <f t="shared" si="33"/>
        <v>14533.2</v>
      </c>
      <c r="F397">
        <f t="shared" si="34"/>
        <v>21780</v>
      </c>
    </row>
    <row r="398" spans="1:6" x14ac:dyDescent="0.25">
      <c r="A398">
        <v>397</v>
      </c>
      <c r="B398">
        <f t="shared" si="30"/>
        <v>7265.0999999999985</v>
      </c>
      <c r="C398">
        <f t="shared" si="31"/>
        <v>4359.0599999999986</v>
      </c>
      <c r="D398">
        <f t="shared" si="32"/>
        <v>2906.0399999999995</v>
      </c>
      <c r="E398">
        <f t="shared" si="33"/>
        <v>14569.900000000001</v>
      </c>
      <c r="F398">
        <f t="shared" si="34"/>
        <v>21835</v>
      </c>
    </row>
    <row r="399" spans="1:6" x14ac:dyDescent="0.25">
      <c r="A399">
        <v>398</v>
      </c>
      <c r="B399">
        <f t="shared" si="30"/>
        <v>7283.3999999999987</v>
      </c>
      <c r="C399">
        <f t="shared" si="31"/>
        <v>4370.0399999999991</v>
      </c>
      <c r="D399">
        <f t="shared" si="32"/>
        <v>2913.3599999999997</v>
      </c>
      <c r="E399">
        <f t="shared" si="33"/>
        <v>14606.6</v>
      </c>
      <c r="F399">
        <f t="shared" si="34"/>
        <v>21890</v>
      </c>
    </row>
    <row r="400" spans="1:6" x14ac:dyDescent="0.25">
      <c r="A400">
        <v>399</v>
      </c>
      <c r="B400">
        <f t="shared" si="30"/>
        <v>7301.6999999999989</v>
      </c>
      <c r="C400">
        <f t="shared" si="31"/>
        <v>4381.0199999999995</v>
      </c>
      <c r="D400">
        <f t="shared" si="32"/>
        <v>2920.68</v>
      </c>
      <c r="E400">
        <f t="shared" si="33"/>
        <v>14643.300000000001</v>
      </c>
      <c r="F400">
        <f t="shared" si="34"/>
        <v>21945</v>
      </c>
    </row>
    <row r="401" spans="1:6" x14ac:dyDescent="0.25">
      <c r="A401">
        <v>400</v>
      </c>
      <c r="B401">
        <f t="shared" si="30"/>
        <v>7319.9999999999991</v>
      </c>
      <c r="C401">
        <f t="shared" si="31"/>
        <v>4391.9999999999991</v>
      </c>
      <c r="D401">
        <f t="shared" si="32"/>
        <v>2928</v>
      </c>
      <c r="E401">
        <f t="shared" si="33"/>
        <v>14680.000000000002</v>
      </c>
      <c r="F401">
        <f t="shared" si="34"/>
        <v>22000</v>
      </c>
    </row>
    <row r="402" spans="1:6" x14ac:dyDescent="0.25">
      <c r="A402">
        <v>401</v>
      </c>
      <c r="B402">
        <f t="shared" si="30"/>
        <v>7338.2999999999993</v>
      </c>
      <c r="C402">
        <f t="shared" si="31"/>
        <v>4402.9799999999996</v>
      </c>
      <c r="D402">
        <f t="shared" si="32"/>
        <v>2935.3199999999997</v>
      </c>
      <c r="E402">
        <f t="shared" si="33"/>
        <v>14716.7</v>
      </c>
      <c r="F402">
        <f t="shared" si="34"/>
        <v>22055</v>
      </c>
    </row>
    <row r="403" spans="1:6" x14ac:dyDescent="0.25">
      <c r="A403">
        <v>402</v>
      </c>
      <c r="B403">
        <f t="shared" si="30"/>
        <v>7356.5999999999985</v>
      </c>
      <c r="C403">
        <f t="shared" si="31"/>
        <v>4413.9599999999991</v>
      </c>
      <c r="D403">
        <f t="shared" si="32"/>
        <v>2942.6399999999994</v>
      </c>
      <c r="E403">
        <f t="shared" si="33"/>
        <v>14753.400000000001</v>
      </c>
      <c r="F403">
        <f t="shared" si="34"/>
        <v>22110</v>
      </c>
    </row>
    <row r="404" spans="1:6" x14ac:dyDescent="0.25">
      <c r="A404">
        <v>403</v>
      </c>
      <c r="B404">
        <f t="shared" si="30"/>
        <v>7374.8999999999987</v>
      </c>
      <c r="C404">
        <f t="shared" si="31"/>
        <v>4424.9399999999987</v>
      </c>
      <c r="D404">
        <f t="shared" si="32"/>
        <v>2949.9599999999996</v>
      </c>
      <c r="E404">
        <f t="shared" si="33"/>
        <v>14790.1</v>
      </c>
      <c r="F404">
        <f t="shared" si="34"/>
        <v>22165</v>
      </c>
    </row>
    <row r="405" spans="1:6" x14ac:dyDescent="0.25">
      <c r="A405">
        <v>404</v>
      </c>
      <c r="B405">
        <f t="shared" si="30"/>
        <v>7393.1999999999989</v>
      </c>
      <c r="C405">
        <f t="shared" si="31"/>
        <v>4435.9199999999992</v>
      </c>
      <c r="D405">
        <f t="shared" si="32"/>
        <v>2957.2799999999997</v>
      </c>
      <c r="E405">
        <f t="shared" si="33"/>
        <v>14826.800000000001</v>
      </c>
      <c r="F405">
        <f t="shared" si="34"/>
        <v>22220</v>
      </c>
    </row>
    <row r="406" spans="1:6" x14ac:dyDescent="0.25">
      <c r="A406">
        <v>405</v>
      </c>
      <c r="B406">
        <f t="shared" si="30"/>
        <v>7411.4999999999991</v>
      </c>
      <c r="C406">
        <f t="shared" si="31"/>
        <v>4446.8999999999996</v>
      </c>
      <c r="D406">
        <f t="shared" si="32"/>
        <v>2964.6</v>
      </c>
      <c r="E406">
        <f t="shared" si="33"/>
        <v>14863.500000000002</v>
      </c>
      <c r="F406">
        <f t="shared" si="34"/>
        <v>22275</v>
      </c>
    </row>
    <row r="407" spans="1:6" x14ac:dyDescent="0.25">
      <c r="A407">
        <v>406</v>
      </c>
      <c r="B407">
        <f t="shared" si="30"/>
        <v>7429.7999999999993</v>
      </c>
      <c r="C407">
        <f t="shared" si="31"/>
        <v>4457.8799999999992</v>
      </c>
      <c r="D407">
        <f t="shared" si="32"/>
        <v>2971.92</v>
      </c>
      <c r="E407">
        <f t="shared" si="33"/>
        <v>14900.2</v>
      </c>
      <c r="F407">
        <f t="shared" si="34"/>
        <v>22330</v>
      </c>
    </row>
    <row r="408" spans="1:6" x14ac:dyDescent="0.25">
      <c r="A408">
        <v>407</v>
      </c>
      <c r="B408">
        <f t="shared" si="30"/>
        <v>7448.0999999999985</v>
      </c>
      <c r="C408">
        <f t="shared" si="31"/>
        <v>4468.8599999999988</v>
      </c>
      <c r="D408">
        <f t="shared" si="32"/>
        <v>2979.24</v>
      </c>
      <c r="E408">
        <f t="shared" si="33"/>
        <v>14936.900000000001</v>
      </c>
      <c r="F408">
        <f t="shared" si="34"/>
        <v>22385</v>
      </c>
    </row>
    <row r="409" spans="1:6" x14ac:dyDescent="0.25">
      <c r="A409">
        <v>408</v>
      </c>
      <c r="B409">
        <f t="shared" si="30"/>
        <v>7466.3999999999987</v>
      </c>
      <c r="C409">
        <f t="shared" si="31"/>
        <v>4479.8399999999992</v>
      </c>
      <c r="D409">
        <f t="shared" si="32"/>
        <v>2986.5599999999995</v>
      </c>
      <c r="E409">
        <f t="shared" si="33"/>
        <v>14973.6</v>
      </c>
      <c r="F409">
        <f t="shared" si="34"/>
        <v>22440</v>
      </c>
    </row>
    <row r="410" spans="1:6" x14ac:dyDescent="0.25">
      <c r="A410">
        <v>409</v>
      </c>
      <c r="B410">
        <f t="shared" si="30"/>
        <v>7484.6999999999989</v>
      </c>
      <c r="C410">
        <f t="shared" si="31"/>
        <v>4490.8199999999988</v>
      </c>
      <c r="D410">
        <f t="shared" si="32"/>
        <v>2993.8799999999997</v>
      </c>
      <c r="E410">
        <f t="shared" si="33"/>
        <v>15010.300000000001</v>
      </c>
      <c r="F410">
        <f t="shared" si="34"/>
        <v>22495</v>
      </c>
    </row>
    <row r="411" spans="1:6" x14ac:dyDescent="0.25">
      <c r="A411">
        <v>410</v>
      </c>
      <c r="B411">
        <f t="shared" si="30"/>
        <v>7502.9999999999991</v>
      </c>
      <c r="C411">
        <f t="shared" si="31"/>
        <v>4501.7999999999993</v>
      </c>
      <c r="D411">
        <f t="shared" si="32"/>
        <v>3001.2</v>
      </c>
      <c r="E411">
        <f t="shared" si="33"/>
        <v>15047.000000000002</v>
      </c>
      <c r="F411">
        <f t="shared" si="34"/>
        <v>22550</v>
      </c>
    </row>
    <row r="412" spans="1:6" x14ac:dyDescent="0.25">
      <c r="A412">
        <v>411</v>
      </c>
      <c r="B412">
        <f t="shared" si="30"/>
        <v>7521.2999999999993</v>
      </c>
      <c r="C412">
        <f t="shared" si="31"/>
        <v>4512.78</v>
      </c>
      <c r="D412">
        <f t="shared" si="32"/>
        <v>3008.52</v>
      </c>
      <c r="E412">
        <f t="shared" si="33"/>
        <v>15083.7</v>
      </c>
      <c r="F412">
        <f t="shared" si="34"/>
        <v>22605</v>
      </c>
    </row>
    <row r="413" spans="1:6" x14ac:dyDescent="0.25">
      <c r="A413">
        <v>412</v>
      </c>
      <c r="B413">
        <f t="shared" si="30"/>
        <v>7539.5999999999985</v>
      </c>
      <c r="C413">
        <f t="shared" si="31"/>
        <v>4523.7599999999993</v>
      </c>
      <c r="D413">
        <f t="shared" si="32"/>
        <v>3015.8399999999997</v>
      </c>
      <c r="E413">
        <f t="shared" si="33"/>
        <v>15120.400000000001</v>
      </c>
      <c r="F413">
        <f t="shared" si="34"/>
        <v>22660</v>
      </c>
    </row>
    <row r="414" spans="1:6" x14ac:dyDescent="0.25">
      <c r="A414">
        <v>413</v>
      </c>
      <c r="B414">
        <f t="shared" si="30"/>
        <v>7557.8999999999987</v>
      </c>
      <c r="C414">
        <f t="shared" si="31"/>
        <v>4534.7399999999989</v>
      </c>
      <c r="D414">
        <f t="shared" si="32"/>
        <v>3023.16</v>
      </c>
      <c r="E414">
        <f t="shared" si="33"/>
        <v>15157.1</v>
      </c>
      <c r="F414">
        <f t="shared" si="34"/>
        <v>22715</v>
      </c>
    </row>
    <row r="415" spans="1:6" x14ac:dyDescent="0.25">
      <c r="A415">
        <v>414</v>
      </c>
      <c r="B415">
        <f t="shared" si="30"/>
        <v>7576.1999999999989</v>
      </c>
      <c r="C415">
        <f t="shared" si="31"/>
        <v>4545.7199999999993</v>
      </c>
      <c r="D415">
        <f t="shared" si="32"/>
        <v>3030.4799999999996</v>
      </c>
      <c r="E415">
        <f t="shared" si="33"/>
        <v>15193.800000000001</v>
      </c>
      <c r="F415">
        <f t="shared" si="34"/>
        <v>22770</v>
      </c>
    </row>
    <row r="416" spans="1:6" x14ac:dyDescent="0.25">
      <c r="A416">
        <v>415</v>
      </c>
      <c r="B416">
        <f t="shared" si="30"/>
        <v>7594.4999999999991</v>
      </c>
      <c r="C416">
        <f t="shared" si="31"/>
        <v>4556.6999999999989</v>
      </c>
      <c r="D416">
        <f t="shared" si="32"/>
        <v>3037.7999999999997</v>
      </c>
      <c r="E416">
        <f t="shared" si="33"/>
        <v>15230.500000000002</v>
      </c>
      <c r="F416">
        <f t="shared" si="34"/>
        <v>22825</v>
      </c>
    </row>
    <row r="417" spans="1:6" x14ac:dyDescent="0.25">
      <c r="A417">
        <v>416</v>
      </c>
      <c r="B417">
        <f t="shared" si="30"/>
        <v>7612.7999999999993</v>
      </c>
      <c r="C417">
        <f t="shared" si="31"/>
        <v>4567.6799999999994</v>
      </c>
      <c r="D417">
        <f t="shared" si="32"/>
        <v>3045.12</v>
      </c>
      <c r="E417">
        <f t="shared" si="33"/>
        <v>15267.2</v>
      </c>
      <c r="F417">
        <f t="shared" si="34"/>
        <v>22880</v>
      </c>
    </row>
    <row r="418" spans="1:6" x14ac:dyDescent="0.25">
      <c r="A418">
        <v>417</v>
      </c>
      <c r="B418">
        <f t="shared" si="30"/>
        <v>7631.0999999999985</v>
      </c>
      <c r="C418">
        <f t="shared" si="31"/>
        <v>4578.6599999999989</v>
      </c>
      <c r="D418">
        <f t="shared" si="32"/>
        <v>3052.4399999999996</v>
      </c>
      <c r="E418">
        <f t="shared" si="33"/>
        <v>15303.900000000001</v>
      </c>
      <c r="F418">
        <f t="shared" si="34"/>
        <v>22935</v>
      </c>
    </row>
    <row r="419" spans="1:6" x14ac:dyDescent="0.25">
      <c r="A419">
        <v>418</v>
      </c>
      <c r="B419">
        <f t="shared" si="30"/>
        <v>7649.3999999999987</v>
      </c>
      <c r="C419">
        <f t="shared" si="31"/>
        <v>4589.6399999999994</v>
      </c>
      <c r="D419">
        <f t="shared" si="32"/>
        <v>3059.7599999999998</v>
      </c>
      <c r="E419">
        <f t="shared" si="33"/>
        <v>15340.6</v>
      </c>
      <c r="F419">
        <f t="shared" si="34"/>
        <v>22990</v>
      </c>
    </row>
    <row r="420" spans="1:6" x14ac:dyDescent="0.25">
      <c r="A420">
        <v>419</v>
      </c>
      <c r="B420">
        <f t="shared" si="30"/>
        <v>7667.6999999999989</v>
      </c>
      <c r="C420">
        <f t="shared" si="31"/>
        <v>4600.619999999999</v>
      </c>
      <c r="D420">
        <f t="shared" si="32"/>
        <v>3067.08</v>
      </c>
      <c r="E420">
        <f t="shared" si="33"/>
        <v>15377.300000000001</v>
      </c>
      <c r="F420">
        <f t="shared" si="34"/>
        <v>23045</v>
      </c>
    </row>
    <row r="421" spans="1:6" x14ac:dyDescent="0.25">
      <c r="A421">
        <v>420</v>
      </c>
      <c r="B421">
        <f t="shared" si="30"/>
        <v>7685.9999999999991</v>
      </c>
      <c r="C421">
        <f t="shared" si="31"/>
        <v>4611.5999999999995</v>
      </c>
      <c r="D421">
        <f t="shared" si="32"/>
        <v>3074.3999999999996</v>
      </c>
      <c r="E421">
        <f t="shared" si="33"/>
        <v>15414.000000000002</v>
      </c>
      <c r="F421">
        <f t="shared" si="34"/>
        <v>23100</v>
      </c>
    </row>
    <row r="422" spans="1:6" x14ac:dyDescent="0.25">
      <c r="A422">
        <v>421</v>
      </c>
      <c r="B422">
        <f t="shared" si="30"/>
        <v>7704.2999999999984</v>
      </c>
      <c r="C422">
        <f t="shared" si="31"/>
        <v>4622.579999999999</v>
      </c>
      <c r="D422">
        <f t="shared" si="32"/>
        <v>3081.7199999999993</v>
      </c>
      <c r="E422">
        <f t="shared" si="33"/>
        <v>15450.7</v>
      </c>
      <c r="F422">
        <f t="shared" si="34"/>
        <v>23155</v>
      </c>
    </row>
    <row r="423" spans="1:6" x14ac:dyDescent="0.25">
      <c r="A423">
        <v>422</v>
      </c>
      <c r="B423">
        <f t="shared" si="30"/>
        <v>7722.5999999999985</v>
      </c>
      <c r="C423">
        <f t="shared" si="31"/>
        <v>4633.5599999999986</v>
      </c>
      <c r="D423">
        <f t="shared" si="32"/>
        <v>3089.0399999999995</v>
      </c>
      <c r="E423">
        <f t="shared" si="33"/>
        <v>15487.400000000001</v>
      </c>
      <c r="F423">
        <f t="shared" si="34"/>
        <v>23210</v>
      </c>
    </row>
    <row r="424" spans="1:6" x14ac:dyDescent="0.25">
      <c r="A424">
        <v>423</v>
      </c>
      <c r="B424">
        <f t="shared" si="30"/>
        <v>7740.8999999999987</v>
      </c>
      <c r="C424">
        <f t="shared" si="31"/>
        <v>4644.5399999999991</v>
      </c>
      <c r="D424">
        <f t="shared" si="32"/>
        <v>3096.3599999999997</v>
      </c>
      <c r="E424">
        <f t="shared" si="33"/>
        <v>15524.1</v>
      </c>
      <c r="F424">
        <f t="shared" si="34"/>
        <v>23265</v>
      </c>
    </row>
    <row r="425" spans="1:6" x14ac:dyDescent="0.25">
      <c r="A425">
        <v>424</v>
      </c>
      <c r="B425">
        <f t="shared" si="30"/>
        <v>7759.1999999999989</v>
      </c>
      <c r="C425">
        <f t="shared" si="31"/>
        <v>4655.5199999999995</v>
      </c>
      <c r="D425">
        <f t="shared" si="32"/>
        <v>3103.68</v>
      </c>
      <c r="E425">
        <f t="shared" si="33"/>
        <v>15560.800000000001</v>
      </c>
      <c r="F425">
        <f t="shared" si="34"/>
        <v>23320</v>
      </c>
    </row>
    <row r="426" spans="1:6" x14ac:dyDescent="0.25">
      <c r="A426">
        <v>425</v>
      </c>
      <c r="B426">
        <f t="shared" si="30"/>
        <v>7777.4999999999991</v>
      </c>
      <c r="C426">
        <f t="shared" si="31"/>
        <v>4666.4999999999991</v>
      </c>
      <c r="D426">
        <f t="shared" si="32"/>
        <v>3111</v>
      </c>
      <c r="E426">
        <f t="shared" si="33"/>
        <v>15597.500000000002</v>
      </c>
      <c r="F426">
        <f t="shared" si="34"/>
        <v>23375</v>
      </c>
    </row>
    <row r="427" spans="1:6" x14ac:dyDescent="0.25">
      <c r="A427">
        <v>426</v>
      </c>
      <c r="B427">
        <f t="shared" si="30"/>
        <v>7795.7999999999984</v>
      </c>
      <c r="C427">
        <f t="shared" si="31"/>
        <v>4677.4799999999987</v>
      </c>
      <c r="D427">
        <f t="shared" si="32"/>
        <v>3118.3199999999997</v>
      </c>
      <c r="E427">
        <f t="shared" si="33"/>
        <v>15634.2</v>
      </c>
      <c r="F427">
        <f t="shared" si="34"/>
        <v>23430</v>
      </c>
    </row>
    <row r="428" spans="1:6" x14ac:dyDescent="0.25">
      <c r="A428">
        <v>427</v>
      </c>
      <c r="B428">
        <f t="shared" si="30"/>
        <v>7814.0999999999985</v>
      </c>
      <c r="C428">
        <f t="shared" si="31"/>
        <v>4688.4599999999991</v>
      </c>
      <c r="D428">
        <f t="shared" si="32"/>
        <v>3125.6399999999994</v>
      </c>
      <c r="E428">
        <f t="shared" si="33"/>
        <v>15670.900000000001</v>
      </c>
      <c r="F428">
        <f t="shared" si="34"/>
        <v>23485</v>
      </c>
    </row>
    <row r="429" spans="1:6" x14ac:dyDescent="0.25">
      <c r="A429">
        <v>428</v>
      </c>
      <c r="B429">
        <f t="shared" si="30"/>
        <v>7832.3999999999987</v>
      </c>
      <c r="C429">
        <f t="shared" si="31"/>
        <v>4699.4399999999987</v>
      </c>
      <c r="D429">
        <f t="shared" si="32"/>
        <v>3132.9599999999996</v>
      </c>
      <c r="E429">
        <f t="shared" si="33"/>
        <v>15707.6</v>
      </c>
      <c r="F429">
        <f t="shared" si="34"/>
        <v>23540</v>
      </c>
    </row>
    <row r="430" spans="1:6" x14ac:dyDescent="0.25">
      <c r="A430">
        <v>429</v>
      </c>
      <c r="B430">
        <f t="shared" si="30"/>
        <v>7850.6999999999989</v>
      </c>
      <c r="C430">
        <f t="shared" si="31"/>
        <v>4710.4199999999992</v>
      </c>
      <c r="D430">
        <f t="shared" si="32"/>
        <v>3140.2799999999997</v>
      </c>
      <c r="E430">
        <f t="shared" si="33"/>
        <v>15744.300000000001</v>
      </c>
      <c r="F430">
        <f t="shared" si="34"/>
        <v>23595</v>
      </c>
    </row>
    <row r="431" spans="1:6" x14ac:dyDescent="0.25">
      <c r="A431">
        <v>430</v>
      </c>
      <c r="B431">
        <f t="shared" si="30"/>
        <v>7868.9999999999991</v>
      </c>
      <c r="C431">
        <f t="shared" si="31"/>
        <v>4721.3999999999996</v>
      </c>
      <c r="D431">
        <f t="shared" si="32"/>
        <v>3147.6</v>
      </c>
      <c r="E431">
        <f t="shared" si="33"/>
        <v>15781.000000000002</v>
      </c>
      <c r="F431">
        <f t="shared" si="34"/>
        <v>23650</v>
      </c>
    </row>
    <row r="432" spans="1:6" x14ac:dyDescent="0.25">
      <c r="A432">
        <v>431</v>
      </c>
      <c r="B432">
        <f t="shared" si="30"/>
        <v>7887.2999999999984</v>
      </c>
      <c r="C432">
        <f t="shared" si="31"/>
        <v>4732.3799999999992</v>
      </c>
      <c r="D432">
        <f t="shared" si="32"/>
        <v>3154.9199999999996</v>
      </c>
      <c r="E432">
        <f t="shared" si="33"/>
        <v>15817.7</v>
      </c>
      <c r="F432">
        <f t="shared" si="34"/>
        <v>23705</v>
      </c>
    </row>
    <row r="433" spans="1:6" x14ac:dyDescent="0.25">
      <c r="A433">
        <v>432</v>
      </c>
      <c r="B433">
        <f t="shared" si="30"/>
        <v>7905.5999999999985</v>
      </c>
      <c r="C433">
        <f t="shared" si="31"/>
        <v>4743.3599999999988</v>
      </c>
      <c r="D433">
        <f t="shared" si="32"/>
        <v>3162.24</v>
      </c>
      <c r="E433">
        <f t="shared" si="33"/>
        <v>15854.400000000001</v>
      </c>
      <c r="F433">
        <f t="shared" si="34"/>
        <v>23760</v>
      </c>
    </row>
    <row r="434" spans="1:6" x14ac:dyDescent="0.25">
      <c r="A434">
        <v>433</v>
      </c>
      <c r="B434">
        <f t="shared" si="30"/>
        <v>7923.8999999999987</v>
      </c>
      <c r="C434">
        <f t="shared" si="31"/>
        <v>4754.3399999999992</v>
      </c>
      <c r="D434">
        <f t="shared" si="32"/>
        <v>3169.5599999999995</v>
      </c>
      <c r="E434">
        <f t="shared" si="33"/>
        <v>15891.1</v>
      </c>
      <c r="F434">
        <f t="shared" si="34"/>
        <v>23815</v>
      </c>
    </row>
    <row r="435" spans="1:6" x14ac:dyDescent="0.25">
      <c r="A435">
        <v>434</v>
      </c>
      <c r="B435">
        <f t="shared" si="30"/>
        <v>7942.1999999999989</v>
      </c>
      <c r="C435">
        <f t="shared" si="31"/>
        <v>4765.3199999999988</v>
      </c>
      <c r="D435">
        <f t="shared" si="32"/>
        <v>3176.8799999999997</v>
      </c>
      <c r="E435">
        <f t="shared" si="33"/>
        <v>15927.800000000001</v>
      </c>
      <c r="F435">
        <f t="shared" si="34"/>
        <v>23870</v>
      </c>
    </row>
    <row r="436" spans="1:6" x14ac:dyDescent="0.25">
      <c r="A436">
        <v>435</v>
      </c>
      <c r="B436">
        <f t="shared" si="30"/>
        <v>7960.4999999999991</v>
      </c>
      <c r="C436">
        <f t="shared" si="31"/>
        <v>4776.2999999999993</v>
      </c>
      <c r="D436">
        <f t="shared" si="32"/>
        <v>3184.2</v>
      </c>
      <c r="E436">
        <f t="shared" si="33"/>
        <v>15964.500000000002</v>
      </c>
      <c r="F436">
        <f t="shared" si="34"/>
        <v>23925</v>
      </c>
    </row>
    <row r="437" spans="1:6" x14ac:dyDescent="0.25">
      <c r="A437">
        <v>436</v>
      </c>
      <c r="B437">
        <f t="shared" si="30"/>
        <v>7978.7999999999984</v>
      </c>
      <c r="C437">
        <f t="shared" si="31"/>
        <v>4787.2799999999988</v>
      </c>
      <c r="D437">
        <f t="shared" si="32"/>
        <v>3191.5199999999995</v>
      </c>
      <c r="E437">
        <f t="shared" si="33"/>
        <v>16001.2</v>
      </c>
      <c r="F437">
        <f t="shared" si="34"/>
        <v>23980</v>
      </c>
    </row>
    <row r="438" spans="1:6" x14ac:dyDescent="0.25">
      <c r="A438">
        <v>437</v>
      </c>
      <c r="B438">
        <f t="shared" si="30"/>
        <v>7997.0999999999985</v>
      </c>
      <c r="C438">
        <f t="shared" si="31"/>
        <v>4798.2599999999993</v>
      </c>
      <c r="D438">
        <f t="shared" si="32"/>
        <v>3198.8399999999997</v>
      </c>
      <c r="E438">
        <f t="shared" si="33"/>
        <v>16037.900000000001</v>
      </c>
      <c r="F438">
        <f t="shared" si="34"/>
        <v>24035</v>
      </c>
    </row>
    <row r="439" spans="1:6" x14ac:dyDescent="0.25">
      <c r="A439">
        <v>438</v>
      </c>
      <c r="B439">
        <f t="shared" si="30"/>
        <v>8015.3999999999987</v>
      </c>
      <c r="C439">
        <f t="shared" si="31"/>
        <v>4809.2399999999989</v>
      </c>
      <c r="D439">
        <f t="shared" si="32"/>
        <v>3206.16</v>
      </c>
      <c r="E439">
        <f t="shared" si="33"/>
        <v>16074.6</v>
      </c>
      <c r="F439">
        <f t="shared" si="34"/>
        <v>24090</v>
      </c>
    </row>
    <row r="440" spans="1:6" x14ac:dyDescent="0.25">
      <c r="A440">
        <v>439</v>
      </c>
      <c r="B440">
        <f t="shared" si="30"/>
        <v>8033.6999999999989</v>
      </c>
      <c r="C440">
        <f t="shared" si="31"/>
        <v>4820.2199999999993</v>
      </c>
      <c r="D440">
        <f t="shared" si="32"/>
        <v>3213.4799999999996</v>
      </c>
      <c r="E440">
        <f t="shared" si="33"/>
        <v>16111.300000000001</v>
      </c>
      <c r="F440">
        <f t="shared" si="34"/>
        <v>24145</v>
      </c>
    </row>
    <row r="441" spans="1:6" x14ac:dyDescent="0.25">
      <c r="A441">
        <v>440</v>
      </c>
      <c r="B441">
        <f t="shared" si="30"/>
        <v>8051.9999999999991</v>
      </c>
      <c r="C441">
        <f t="shared" si="31"/>
        <v>4831.1999999999989</v>
      </c>
      <c r="D441">
        <f t="shared" si="32"/>
        <v>3220.7999999999997</v>
      </c>
      <c r="E441">
        <f t="shared" si="33"/>
        <v>16148.000000000002</v>
      </c>
      <c r="F441">
        <f t="shared" si="34"/>
        <v>24200</v>
      </c>
    </row>
    <row r="442" spans="1:6" x14ac:dyDescent="0.25">
      <c r="A442">
        <v>441</v>
      </c>
      <c r="B442">
        <f t="shared" si="30"/>
        <v>8070.2999999999984</v>
      </c>
      <c r="C442">
        <f t="shared" si="31"/>
        <v>4842.1799999999985</v>
      </c>
      <c r="D442">
        <f t="shared" si="32"/>
        <v>3228.1199999999994</v>
      </c>
      <c r="E442">
        <f t="shared" si="33"/>
        <v>16184.7</v>
      </c>
      <c r="F442">
        <f t="shared" si="34"/>
        <v>24255</v>
      </c>
    </row>
    <row r="443" spans="1:6" x14ac:dyDescent="0.25">
      <c r="A443">
        <v>442</v>
      </c>
      <c r="B443">
        <f t="shared" si="30"/>
        <v>8088.5999999999985</v>
      </c>
      <c r="C443">
        <f t="shared" si="31"/>
        <v>4853.1599999999989</v>
      </c>
      <c r="D443">
        <f t="shared" si="32"/>
        <v>3235.4399999999996</v>
      </c>
      <c r="E443">
        <f t="shared" si="33"/>
        <v>16221.400000000001</v>
      </c>
      <c r="F443">
        <f t="shared" si="34"/>
        <v>24310</v>
      </c>
    </row>
    <row r="444" spans="1:6" x14ac:dyDescent="0.25">
      <c r="A444">
        <v>443</v>
      </c>
      <c r="B444">
        <f t="shared" si="30"/>
        <v>8106.8999999999987</v>
      </c>
      <c r="C444">
        <f t="shared" si="31"/>
        <v>4864.1399999999994</v>
      </c>
      <c r="D444">
        <f t="shared" si="32"/>
        <v>3242.7599999999998</v>
      </c>
      <c r="E444">
        <f t="shared" si="33"/>
        <v>16258.1</v>
      </c>
      <c r="F444">
        <f t="shared" si="34"/>
        <v>24365</v>
      </c>
    </row>
    <row r="445" spans="1:6" x14ac:dyDescent="0.25">
      <c r="A445">
        <v>444</v>
      </c>
      <c r="B445">
        <f t="shared" si="30"/>
        <v>8125.1999999999989</v>
      </c>
      <c r="C445">
        <f t="shared" si="31"/>
        <v>4875.119999999999</v>
      </c>
      <c r="D445">
        <f t="shared" si="32"/>
        <v>3250.08</v>
      </c>
      <c r="E445">
        <f t="shared" si="33"/>
        <v>16294.800000000001</v>
      </c>
      <c r="F445">
        <f t="shared" si="34"/>
        <v>24420</v>
      </c>
    </row>
    <row r="446" spans="1:6" x14ac:dyDescent="0.25">
      <c r="A446">
        <v>445</v>
      </c>
      <c r="B446">
        <f t="shared" si="30"/>
        <v>8143.4999999999991</v>
      </c>
      <c r="C446">
        <f t="shared" si="31"/>
        <v>4886.0999999999995</v>
      </c>
      <c r="D446">
        <f t="shared" si="32"/>
        <v>3257.3999999999996</v>
      </c>
      <c r="E446">
        <f t="shared" si="33"/>
        <v>16331.500000000002</v>
      </c>
      <c r="F446">
        <f t="shared" si="34"/>
        <v>24475</v>
      </c>
    </row>
    <row r="447" spans="1:6" x14ac:dyDescent="0.25">
      <c r="A447">
        <v>446</v>
      </c>
      <c r="B447">
        <f t="shared" si="30"/>
        <v>8161.7999999999984</v>
      </c>
      <c r="C447">
        <f t="shared" si="31"/>
        <v>4897.079999999999</v>
      </c>
      <c r="D447">
        <f t="shared" si="32"/>
        <v>3264.7199999999993</v>
      </c>
      <c r="E447">
        <f t="shared" si="33"/>
        <v>16368.2</v>
      </c>
      <c r="F447">
        <f t="shared" si="34"/>
        <v>24530</v>
      </c>
    </row>
    <row r="448" spans="1:6" x14ac:dyDescent="0.25">
      <c r="A448">
        <v>447</v>
      </c>
      <c r="B448">
        <f t="shared" si="30"/>
        <v>8180.0999999999985</v>
      </c>
      <c r="C448">
        <f t="shared" si="31"/>
        <v>4908.0599999999986</v>
      </c>
      <c r="D448">
        <f t="shared" si="32"/>
        <v>3272.0399999999995</v>
      </c>
      <c r="E448">
        <f t="shared" si="33"/>
        <v>16404.900000000001</v>
      </c>
      <c r="F448">
        <f t="shared" si="34"/>
        <v>24585</v>
      </c>
    </row>
    <row r="449" spans="1:6" x14ac:dyDescent="0.25">
      <c r="A449">
        <v>448</v>
      </c>
      <c r="B449">
        <f t="shared" si="30"/>
        <v>8198.3999999999978</v>
      </c>
      <c r="C449">
        <f t="shared" si="31"/>
        <v>4919.0399999999981</v>
      </c>
      <c r="D449">
        <f t="shared" si="32"/>
        <v>3279.3599999999992</v>
      </c>
      <c r="E449">
        <f t="shared" si="33"/>
        <v>16441.600000000002</v>
      </c>
      <c r="F449">
        <f t="shared" si="34"/>
        <v>24640</v>
      </c>
    </row>
    <row r="450" spans="1:6" x14ac:dyDescent="0.25">
      <c r="A450">
        <v>449</v>
      </c>
      <c r="B450">
        <f t="shared" si="30"/>
        <v>8216.6999999999989</v>
      </c>
      <c r="C450">
        <f t="shared" si="31"/>
        <v>4930.0199999999995</v>
      </c>
      <c r="D450">
        <f t="shared" si="32"/>
        <v>3286.68</v>
      </c>
      <c r="E450">
        <f t="shared" si="33"/>
        <v>16478.300000000003</v>
      </c>
      <c r="F450">
        <f t="shared" si="34"/>
        <v>24695</v>
      </c>
    </row>
    <row r="451" spans="1:6" x14ac:dyDescent="0.25">
      <c r="A451">
        <v>450</v>
      </c>
      <c r="B451">
        <f t="shared" ref="B451:B504" si="35">$L$2*A451</f>
        <v>8234.9999999999982</v>
      </c>
      <c r="C451">
        <f t="shared" ref="C451:C504" si="36">B451*0.6</f>
        <v>4940.9999999999991</v>
      </c>
      <c r="D451">
        <f t="shared" ref="D451:D504" si="37">B451*0.4</f>
        <v>3293.9999999999995</v>
      </c>
      <c r="E451">
        <f t="shared" ref="E451:E504" si="38">$J$2*A451</f>
        <v>16515</v>
      </c>
      <c r="F451">
        <f t="shared" ref="F451:F504" si="39">E451+B451</f>
        <v>24750</v>
      </c>
    </row>
    <row r="452" spans="1:6" x14ac:dyDescent="0.25">
      <c r="A452">
        <v>451</v>
      </c>
      <c r="B452">
        <f t="shared" si="35"/>
        <v>8253.2999999999993</v>
      </c>
      <c r="C452">
        <f t="shared" si="36"/>
        <v>4951.9799999999996</v>
      </c>
      <c r="D452">
        <f t="shared" si="37"/>
        <v>3301.3199999999997</v>
      </c>
      <c r="E452">
        <f t="shared" si="38"/>
        <v>16551.7</v>
      </c>
      <c r="F452">
        <f t="shared" si="39"/>
        <v>24805</v>
      </c>
    </row>
    <row r="453" spans="1:6" x14ac:dyDescent="0.25">
      <c r="A453">
        <v>452</v>
      </c>
      <c r="B453">
        <f t="shared" si="35"/>
        <v>8271.5999999999985</v>
      </c>
      <c r="C453">
        <f t="shared" si="36"/>
        <v>4962.9599999999991</v>
      </c>
      <c r="D453">
        <f t="shared" si="37"/>
        <v>3308.6399999999994</v>
      </c>
      <c r="E453">
        <f t="shared" si="38"/>
        <v>16588.400000000001</v>
      </c>
      <c r="F453">
        <f t="shared" si="39"/>
        <v>24860</v>
      </c>
    </row>
    <row r="454" spans="1:6" x14ac:dyDescent="0.25">
      <c r="A454">
        <v>453</v>
      </c>
      <c r="B454">
        <f t="shared" si="35"/>
        <v>8289.8999999999978</v>
      </c>
      <c r="C454">
        <f t="shared" si="36"/>
        <v>4973.9399999999987</v>
      </c>
      <c r="D454">
        <f t="shared" si="37"/>
        <v>3315.9599999999991</v>
      </c>
      <c r="E454">
        <f t="shared" si="38"/>
        <v>16625.100000000002</v>
      </c>
      <c r="F454">
        <f t="shared" si="39"/>
        <v>24915</v>
      </c>
    </row>
    <row r="455" spans="1:6" x14ac:dyDescent="0.25">
      <c r="A455">
        <v>454</v>
      </c>
      <c r="B455">
        <f t="shared" si="35"/>
        <v>8308.1999999999989</v>
      </c>
      <c r="C455">
        <f t="shared" si="36"/>
        <v>4984.9199999999992</v>
      </c>
      <c r="D455">
        <f t="shared" si="37"/>
        <v>3323.2799999999997</v>
      </c>
      <c r="E455">
        <f t="shared" si="38"/>
        <v>16661.800000000003</v>
      </c>
      <c r="F455">
        <f t="shared" si="39"/>
        <v>24970</v>
      </c>
    </row>
    <row r="456" spans="1:6" x14ac:dyDescent="0.25">
      <c r="A456">
        <v>455</v>
      </c>
      <c r="B456">
        <f t="shared" si="35"/>
        <v>8326.4999999999982</v>
      </c>
      <c r="C456">
        <f t="shared" si="36"/>
        <v>4995.8999999999987</v>
      </c>
      <c r="D456">
        <f t="shared" si="37"/>
        <v>3330.5999999999995</v>
      </c>
      <c r="E456">
        <f t="shared" si="38"/>
        <v>16698.5</v>
      </c>
      <c r="F456">
        <f t="shared" si="39"/>
        <v>25025</v>
      </c>
    </row>
    <row r="457" spans="1:6" x14ac:dyDescent="0.25">
      <c r="A457">
        <v>456</v>
      </c>
      <c r="B457">
        <f t="shared" si="35"/>
        <v>8344.7999999999993</v>
      </c>
      <c r="C457">
        <f t="shared" si="36"/>
        <v>5006.8799999999992</v>
      </c>
      <c r="D457">
        <f t="shared" si="37"/>
        <v>3337.92</v>
      </c>
      <c r="E457">
        <f t="shared" si="38"/>
        <v>16735.2</v>
      </c>
      <c r="F457">
        <f t="shared" si="39"/>
        <v>25080</v>
      </c>
    </row>
    <row r="458" spans="1:6" x14ac:dyDescent="0.25">
      <c r="A458">
        <v>457</v>
      </c>
      <c r="B458">
        <f t="shared" si="35"/>
        <v>8363.0999999999985</v>
      </c>
      <c r="C458">
        <f t="shared" si="36"/>
        <v>5017.8599999999988</v>
      </c>
      <c r="D458">
        <f t="shared" si="37"/>
        <v>3345.24</v>
      </c>
      <c r="E458">
        <f t="shared" si="38"/>
        <v>16771.900000000001</v>
      </c>
      <c r="F458">
        <f t="shared" si="39"/>
        <v>25135</v>
      </c>
    </row>
    <row r="459" spans="1:6" x14ac:dyDescent="0.25">
      <c r="A459">
        <v>458</v>
      </c>
      <c r="B459">
        <f t="shared" si="35"/>
        <v>8381.3999999999978</v>
      </c>
      <c r="C459">
        <f t="shared" si="36"/>
        <v>5028.8399999999983</v>
      </c>
      <c r="D459">
        <f t="shared" si="37"/>
        <v>3352.5599999999995</v>
      </c>
      <c r="E459">
        <f t="shared" si="38"/>
        <v>16808.600000000002</v>
      </c>
      <c r="F459">
        <f t="shared" si="39"/>
        <v>25190</v>
      </c>
    </row>
    <row r="460" spans="1:6" x14ac:dyDescent="0.25">
      <c r="A460">
        <v>459</v>
      </c>
      <c r="B460">
        <f t="shared" si="35"/>
        <v>8399.6999999999989</v>
      </c>
      <c r="C460">
        <f t="shared" si="36"/>
        <v>5039.8199999999988</v>
      </c>
      <c r="D460">
        <f t="shared" si="37"/>
        <v>3359.8799999999997</v>
      </c>
      <c r="E460">
        <f t="shared" si="38"/>
        <v>16845.300000000003</v>
      </c>
      <c r="F460">
        <f t="shared" si="39"/>
        <v>25245</v>
      </c>
    </row>
    <row r="461" spans="1:6" x14ac:dyDescent="0.25">
      <c r="A461">
        <v>460</v>
      </c>
      <c r="B461">
        <f t="shared" si="35"/>
        <v>8417.9999999999982</v>
      </c>
      <c r="C461">
        <f t="shared" si="36"/>
        <v>5050.7999999999984</v>
      </c>
      <c r="D461">
        <f t="shared" si="37"/>
        <v>3367.1999999999994</v>
      </c>
      <c r="E461">
        <f t="shared" si="38"/>
        <v>16882</v>
      </c>
      <c r="F461">
        <f t="shared" si="39"/>
        <v>25300</v>
      </c>
    </row>
    <row r="462" spans="1:6" x14ac:dyDescent="0.25">
      <c r="A462">
        <v>461</v>
      </c>
      <c r="B462">
        <f t="shared" si="35"/>
        <v>8436.2999999999993</v>
      </c>
      <c r="C462">
        <f t="shared" si="36"/>
        <v>5061.78</v>
      </c>
      <c r="D462">
        <f t="shared" si="37"/>
        <v>3374.52</v>
      </c>
      <c r="E462">
        <f t="shared" si="38"/>
        <v>16918.7</v>
      </c>
      <c r="F462">
        <f t="shared" si="39"/>
        <v>25355</v>
      </c>
    </row>
    <row r="463" spans="1:6" x14ac:dyDescent="0.25">
      <c r="A463">
        <v>462</v>
      </c>
      <c r="B463">
        <f t="shared" si="35"/>
        <v>8454.5999999999985</v>
      </c>
      <c r="C463">
        <f t="shared" si="36"/>
        <v>5072.7599999999993</v>
      </c>
      <c r="D463">
        <f t="shared" si="37"/>
        <v>3381.8399999999997</v>
      </c>
      <c r="E463">
        <f t="shared" si="38"/>
        <v>16955.400000000001</v>
      </c>
      <c r="F463">
        <f t="shared" si="39"/>
        <v>25410</v>
      </c>
    </row>
    <row r="464" spans="1:6" x14ac:dyDescent="0.25">
      <c r="A464">
        <v>463</v>
      </c>
      <c r="B464">
        <f t="shared" si="35"/>
        <v>8472.8999999999978</v>
      </c>
      <c r="C464">
        <f t="shared" si="36"/>
        <v>5083.7399999999989</v>
      </c>
      <c r="D464">
        <f t="shared" si="37"/>
        <v>3389.1599999999994</v>
      </c>
      <c r="E464">
        <f t="shared" si="38"/>
        <v>16992.100000000002</v>
      </c>
      <c r="F464">
        <f t="shared" si="39"/>
        <v>25465</v>
      </c>
    </row>
    <row r="465" spans="1:6" x14ac:dyDescent="0.25">
      <c r="A465">
        <v>464</v>
      </c>
      <c r="B465">
        <f t="shared" si="35"/>
        <v>8491.1999999999989</v>
      </c>
      <c r="C465">
        <f t="shared" si="36"/>
        <v>5094.7199999999993</v>
      </c>
      <c r="D465">
        <f t="shared" si="37"/>
        <v>3396.4799999999996</v>
      </c>
      <c r="E465">
        <f t="shared" si="38"/>
        <v>17028.800000000003</v>
      </c>
      <c r="F465">
        <f t="shared" si="39"/>
        <v>25520</v>
      </c>
    </row>
    <row r="466" spans="1:6" x14ac:dyDescent="0.25">
      <c r="A466">
        <v>465</v>
      </c>
      <c r="B466">
        <f t="shared" si="35"/>
        <v>8509.4999999999982</v>
      </c>
      <c r="C466">
        <f t="shared" si="36"/>
        <v>5105.6999999999989</v>
      </c>
      <c r="D466">
        <f t="shared" si="37"/>
        <v>3403.7999999999993</v>
      </c>
      <c r="E466">
        <f t="shared" si="38"/>
        <v>17065.5</v>
      </c>
      <c r="F466">
        <f t="shared" si="39"/>
        <v>25575</v>
      </c>
    </row>
    <row r="467" spans="1:6" x14ac:dyDescent="0.25">
      <c r="A467">
        <v>466</v>
      </c>
      <c r="B467">
        <f t="shared" si="35"/>
        <v>8527.7999999999993</v>
      </c>
      <c r="C467">
        <f t="shared" si="36"/>
        <v>5116.6799999999994</v>
      </c>
      <c r="D467">
        <f t="shared" si="37"/>
        <v>3411.12</v>
      </c>
      <c r="E467">
        <f t="shared" si="38"/>
        <v>17102.2</v>
      </c>
      <c r="F467">
        <f t="shared" si="39"/>
        <v>25630</v>
      </c>
    </row>
    <row r="468" spans="1:6" x14ac:dyDescent="0.25">
      <c r="A468">
        <v>467</v>
      </c>
      <c r="B468">
        <f t="shared" si="35"/>
        <v>8546.0999999999985</v>
      </c>
      <c r="C468">
        <f t="shared" si="36"/>
        <v>5127.6599999999989</v>
      </c>
      <c r="D468">
        <f t="shared" si="37"/>
        <v>3418.4399999999996</v>
      </c>
      <c r="E468">
        <f t="shared" si="38"/>
        <v>17138.900000000001</v>
      </c>
      <c r="F468">
        <f t="shared" si="39"/>
        <v>25685</v>
      </c>
    </row>
    <row r="469" spans="1:6" x14ac:dyDescent="0.25">
      <c r="A469">
        <v>468</v>
      </c>
      <c r="B469">
        <f t="shared" si="35"/>
        <v>8564.3999999999978</v>
      </c>
      <c r="C469">
        <f t="shared" si="36"/>
        <v>5138.6399999999985</v>
      </c>
      <c r="D469">
        <f t="shared" si="37"/>
        <v>3425.7599999999993</v>
      </c>
      <c r="E469">
        <f t="shared" si="38"/>
        <v>17175.600000000002</v>
      </c>
      <c r="F469">
        <f t="shared" si="39"/>
        <v>25740</v>
      </c>
    </row>
    <row r="470" spans="1:6" x14ac:dyDescent="0.25">
      <c r="A470">
        <v>469</v>
      </c>
      <c r="B470">
        <f t="shared" si="35"/>
        <v>8582.6999999999989</v>
      </c>
      <c r="C470">
        <f t="shared" si="36"/>
        <v>5149.619999999999</v>
      </c>
      <c r="D470">
        <f t="shared" si="37"/>
        <v>3433.08</v>
      </c>
      <c r="E470">
        <f t="shared" si="38"/>
        <v>17212.300000000003</v>
      </c>
      <c r="F470">
        <f t="shared" si="39"/>
        <v>25795</v>
      </c>
    </row>
    <row r="471" spans="1:6" x14ac:dyDescent="0.25">
      <c r="A471">
        <v>470</v>
      </c>
      <c r="B471">
        <f t="shared" si="35"/>
        <v>8600.9999999999982</v>
      </c>
      <c r="C471">
        <f t="shared" si="36"/>
        <v>5160.5999999999985</v>
      </c>
      <c r="D471">
        <f t="shared" si="37"/>
        <v>3440.3999999999996</v>
      </c>
      <c r="E471">
        <f t="shared" si="38"/>
        <v>17249</v>
      </c>
      <c r="F471">
        <f t="shared" si="39"/>
        <v>25850</v>
      </c>
    </row>
    <row r="472" spans="1:6" x14ac:dyDescent="0.25">
      <c r="A472">
        <v>471</v>
      </c>
      <c r="B472">
        <f t="shared" si="35"/>
        <v>8619.2999999999993</v>
      </c>
      <c r="C472">
        <f t="shared" si="36"/>
        <v>5171.579999999999</v>
      </c>
      <c r="D472">
        <f t="shared" si="37"/>
        <v>3447.72</v>
      </c>
      <c r="E472">
        <f t="shared" si="38"/>
        <v>17285.7</v>
      </c>
      <c r="F472">
        <f t="shared" si="39"/>
        <v>25905</v>
      </c>
    </row>
    <row r="473" spans="1:6" x14ac:dyDescent="0.25">
      <c r="A473">
        <v>472</v>
      </c>
      <c r="B473">
        <f t="shared" si="35"/>
        <v>8637.5999999999985</v>
      </c>
      <c r="C473">
        <f t="shared" si="36"/>
        <v>5182.5599999999986</v>
      </c>
      <c r="D473">
        <f t="shared" si="37"/>
        <v>3455.0399999999995</v>
      </c>
      <c r="E473">
        <f t="shared" si="38"/>
        <v>17322.400000000001</v>
      </c>
      <c r="F473">
        <f t="shared" si="39"/>
        <v>25960</v>
      </c>
    </row>
    <row r="474" spans="1:6" x14ac:dyDescent="0.25">
      <c r="A474">
        <v>473</v>
      </c>
      <c r="B474">
        <f t="shared" si="35"/>
        <v>8655.8999999999978</v>
      </c>
      <c r="C474">
        <f t="shared" si="36"/>
        <v>5193.5399999999981</v>
      </c>
      <c r="D474">
        <f t="shared" si="37"/>
        <v>3462.3599999999992</v>
      </c>
      <c r="E474">
        <f t="shared" si="38"/>
        <v>17359.100000000002</v>
      </c>
      <c r="F474">
        <f t="shared" si="39"/>
        <v>26015</v>
      </c>
    </row>
    <row r="475" spans="1:6" x14ac:dyDescent="0.25">
      <c r="A475">
        <v>474</v>
      </c>
      <c r="B475">
        <f t="shared" si="35"/>
        <v>8674.1999999999989</v>
      </c>
      <c r="C475">
        <f t="shared" si="36"/>
        <v>5204.5199999999995</v>
      </c>
      <c r="D475">
        <f t="shared" si="37"/>
        <v>3469.68</v>
      </c>
      <c r="E475">
        <f t="shared" si="38"/>
        <v>17395.800000000003</v>
      </c>
      <c r="F475">
        <f t="shared" si="39"/>
        <v>26070</v>
      </c>
    </row>
    <row r="476" spans="1:6" x14ac:dyDescent="0.25">
      <c r="A476">
        <v>475</v>
      </c>
      <c r="B476">
        <f t="shared" si="35"/>
        <v>8692.4999999999982</v>
      </c>
      <c r="C476">
        <f t="shared" si="36"/>
        <v>5215.4999999999991</v>
      </c>
      <c r="D476">
        <f t="shared" si="37"/>
        <v>3476.9999999999995</v>
      </c>
      <c r="E476">
        <f t="shared" si="38"/>
        <v>17432.5</v>
      </c>
      <c r="F476">
        <f t="shared" si="39"/>
        <v>26125</v>
      </c>
    </row>
    <row r="477" spans="1:6" x14ac:dyDescent="0.25">
      <c r="A477">
        <v>476</v>
      </c>
      <c r="B477">
        <f t="shared" si="35"/>
        <v>8710.7999999999993</v>
      </c>
      <c r="C477">
        <f t="shared" si="36"/>
        <v>5226.4799999999996</v>
      </c>
      <c r="D477">
        <f t="shared" si="37"/>
        <v>3484.3199999999997</v>
      </c>
      <c r="E477">
        <f t="shared" si="38"/>
        <v>17469.2</v>
      </c>
      <c r="F477">
        <f t="shared" si="39"/>
        <v>26180</v>
      </c>
    </row>
    <row r="478" spans="1:6" x14ac:dyDescent="0.25">
      <c r="A478">
        <v>477</v>
      </c>
      <c r="B478">
        <f t="shared" si="35"/>
        <v>8729.0999999999985</v>
      </c>
      <c r="C478">
        <f t="shared" si="36"/>
        <v>5237.4599999999991</v>
      </c>
      <c r="D478">
        <f t="shared" si="37"/>
        <v>3491.6399999999994</v>
      </c>
      <c r="E478">
        <f t="shared" si="38"/>
        <v>17505.900000000001</v>
      </c>
      <c r="F478">
        <f t="shared" si="39"/>
        <v>26235</v>
      </c>
    </row>
    <row r="479" spans="1:6" x14ac:dyDescent="0.25">
      <c r="A479">
        <v>478</v>
      </c>
      <c r="B479">
        <f t="shared" si="35"/>
        <v>8747.3999999999978</v>
      </c>
      <c r="C479">
        <f t="shared" si="36"/>
        <v>5248.4399999999987</v>
      </c>
      <c r="D479">
        <f t="shared" si="37"/>
        <v>3498.9599999999991</v>
      </c>
      <c r="E479">
        <f t="shared" si="38"/>
        <v>17542.600000000002</v>
      </c>
      <c r="F479">
        <f t="shared" si="39"/>
        <v>26290</v>
      </c>
    </row>
    <row r="480" spans="1:6" x14ac:dyDescent="0.25">
      <c r="A480">
        <v>479</v>
      </c>
      <c r="B480">
        <f t="shared" si="35"/>
        <v>8765.6999999999989</v>
      </c>
      <c r="C480">
        <f t="shared" si="36"/>
        <v>5259.4199999999992</v>
      </c>
      <c r="D480">
        <f t="shared" si="37"/>
        <v>3506.2799999999997</v>
      </c>
      <c r="E480">
        <f t="shared" si="38"/>
        <v>17579.300000000003</v>
      </c>
      <c r="F480">
        <f t="shared" si="39"/>
        <v>26345</v>
      </c>
    </row>
    <row r="481" spans="1:6" x14ac:dyDescent="0.25">
      <c r="A481">
        <v>480</v>
      </c>
      <c r="B481">
        <f t="shared" si="35"/>
        <v>8783.9999999999982</v>
      </c>
      <c r="C481">
        <f t="shared" si="36"/>
        <v>5270.3999999999987</v>
      </c>
      <c r="D481">
        <f t="shared" si="37"/>
        <v>3513.5999999999995</v>
      </c>
      <c r="E481">
        <f t="shared" si="38"/>
        <v>17616</v>
      </c>
      <c r="F481">
        <f t="shared" si="39"/>
        <v>26400</v>
      </c>
    </row>
    <row r="482" spans="1:6" x14ac:dyDescent="0.25">
      <c r="A482">
        <v>481</v>
      </c>
      <c r="B482">
        <f t="shared" si="35"/>
        <v>8802.2999999999993</v>
      </c>
      <c r="C482">
        <f t="shared" si="36"/>
        <v>5281.3799999999992</v>
      </c>
      <c r="D482">
        <f t="shared" si="37"/>
        <v>3520.92</v>
      </c>
      <c r="E482">
        <f t="shared" si="38"/>
        <v>17652.7</v>
      </c>
      <c r="F482">
        <f t="shared" si="39"/>
        <v>26455</v>
      </c>
    </row>
    <row r="483" spans="1:6" x14ac:dyDescent="0.25">
      <c r="A483">
        <v>482</v>
      </c>
      <c r="B483">
        <f t="shared" si="35"/>
        <v>8820.5999999999985</v>
      </c>
      <c r="C483">
        <f t="shared" si="36"/>
        <v>5292.3599999999988</v>
      </c>
      <c r="D483">
        <f t="shared" si="37"/>
        <v>3528.24</v>
      </c>
      <c r="E483">
        <f t="shared" si="38"/>
        <v>17689.400000000001</v>
      </c>
      <c r="F483">
        <f t="shared" si="39"/>
        <v>26510</v>
      </c>
    </row>
    <row r="484" spans="1:6" x14ac:dyDescent="0.25">
      <c r="A484">
        <v>483</v>
      </c>
      <c r="B484">
        <f t="shared" si="35"/>
        <v>8838.8999999999978</v>
      </c>
      <c r="C484">
        <f t="shared" si="36"/>
        <v>5303.3399999999983</v>
      </c>
      <c r="D484">
        <f t="shared" si="37"/>
        <v>3535.5599999999995</v>
      </c>
      <c r="E484">
        <f t="shared" si="38"/>
        <v>17726.100000000002</v>
      </c>
      <c r="F484">
        <f t="shared" si="39"/>
        <v>26565</v>
      </c>
    </row>
    <row r="485" spans="1:6" x14ac:dyDescent="0.25">
      <c r="A485">
        <v>484</v>
      </c>
      <c r="B485">
        <f t="shared" si="35"/>
        <v>8857.1999999999989</v>
      </c>
      <c r="C485">
        <f t="shared" si="36"/>
        <v>5314.3199999999988</v>
      </c>
      <c r="D485">
        <f t="shared" si="37"/>
        <v>3542.8799999999997</v>
      </c>
      <c r="E485">
        <f t="shared" si="38"/>
        <v>17762.800000000003</v>
      </c>
      <c r="F485">
        <f t="shared" si="39"/>
        <v>26620</v>
      </c>
    </row>
    <row r="486" spans="1:6" x14ac:dyDescent="0.25">
      <c r="A486">
        <v>485</v>
      </c>
      <c r="B486">
        <f t="shared" si="35"/>
        <v>8875.4999999999982</v>
      </c>
      <c r="C486">
        <f t="shared" si="36"/>
        <v>5325.2999999999984</v>
      </c>
      <c r="D486">
        <f t="shared" si="37"/>
        <v>3550.1999999999994</v>
      </c>
      <c r="E486">
        <f t="shared" si="38"/>
        <v>17799.5</v>
      </c>
      <c r="F486">
        <f t="shared" si="39"/>
        <v>26675</v>
      </c>
    </row>
    <row r="487" spans="1:6" x14ac:dyDescent="0.25">
      <c r="A487">
        <v>486</v>
      </c>
      <c r="B487">
        <f t="shared" si="35"/>
        <v>8893.7999999999993</v>
      </c>
      <c r="C487">
        <f t="shared" si="36"/>
        <v>5336.28</v>
      </c>
      <c r="D487">
        <f t="shared" si="37"/>
        <v>3557.52</v>
      </c>
      <c r="E487">
        <f t="shared" si="38"/>
        <v>17836.2</v>
      </c>
      <c r="F487">
        <f t="shared" si="39"/>
        <v>26730</v>
      </c>
    </row>
    <row r="488" spans="1:6" x14ac:dyDescent="0.25">
      <c r="A488">
        <v>487</v>
      </c>
      <c r="B488">
        <f t="shared" si="35"/>
        <v>8912.0999999999985</v>
      </c>
      <c r="C488">
        <f t="shared" si="36"/>
        <v>5347.2599999999993</v>
      </c>
      <c r="D488">
        <f t="shared" si="37"/>
        <v>3564.8399999999997</v>
      </c>
      <c r="E488">
        <f t="shared" si="38"/>
        <v>17872.900000000001</v>
      </c>
      <c r="F488">
        <f t="shared" si="39"/>
        <v>26785</v>
      </c>
    </row>
    <row r="489" spans="1:6" x14ac:dyDescent="0.25">
      <c r="A489">
        <v>488</v>
      </c>
      <c r="B489">
        <f t="shared" si="35"/>
        <v>8930.3999999999978</v>
      </c>
      <c r="C489">
        <f t="shared" si="36"/>
        <v>5358.2399999999989</v>
      </c>
      <c r="D489">
        <f t="shared" si="37"/>
        <v>3572.1599999999994</v>
      </c>
      <c r="E489">
        <f t="shared" si="38"/>
        <v>17909.600000000002</v>
      </c>
      <c r="F489">
        <f t="shared" si="39"/>
        <v>26840</v>
      </c>
    </row>
    <row r="490" spans="1:6" x14ac:dyDescent="0.25">
      <c r="A490">
        <v>489</v>
      </c>
      <c r="B490">
        <f t="shared" si="35"/>
        <v>8948.6999999999989</v>
      </c>
      <c r="C490">
        <f t="shared" si="36"/>
        <v>5369.2199999999993</v>
      </c>
      <c r="D490">
        <f t="shared" si="37"/>
        <v>3579.4799999999996</v>
      </c>
      <c r="E490">
        <f t="shared" si="38"/>
        <v>17946.300000000003</v>
      </c>
      <c r="F490">
        <f t="shared" si="39"/>
        <v>26895</v>
      </c>
    </row>
    <row r="491" spans="1:6" x14ac:dyDescent="0.25">
      <c r="A491">
        <v>490</v>
      </c>
      <c r="B491">
        <f t="shared" si="35"/>
        <v>8966.9999999999982</v>
      </c>
      <c r="C491">
        <f t="shared" si="36"/>
        <v>5380.1999999999989</v>
      </c>
      <c r="D491">
        <f t="shared" si="37"/>
        <v>3586.7999999999993</v>
      </c>
      <c r="E491">
        <f t="shared" si="38"/>
        <v>17983</v>
      </c>
      <c r="F491">
        <f t="shared" si="39"/>
        <v>26950</v>
      </c>
    </row>
    <row r="492" spans="1:6" x14ac:dyDescent="0.25">
      <c r="A492">
        <v>491</v>
      </c>
      <c r="B492">
        <f t="shared" si="35"/>
        <v>8985.2999999999993</v>
      </c>
      <c r="C492">
        <f t="shared" si="36"/>
        <v>5391.1799999999994</v>
      </c>
      <c r="D492">
        <f t="shared" si="37"/>
        <v>3594.12</v>
      </c>
      <c r="E492">
        <f t="shared" si="38"/>
        <v>18019.7</v>
      </c>
      <c r="F492">
        <f t="shared" si="39"/>
        <v>27005</v>
      </c>
    </row>
    <row r="493" spans="1:6" x14ac:dyDescent="0.25">
      <c r="A493">
        <v>492</v>
      </c>
      <c r="B493">
        <f t="shared" si="35"/>
        <v>9003.5999999999985</v>
      </c>
      <c r="C493">
        <f t="shared" si="36"/>
        <v>5402.1599999999989</v>
      </c>
      <c r="D493">
        <f t="shared" si="37"/>
        <v>3601.4399999999996</v>
      </c>
      <c r="E493">
        <f t="shared" si="38"/>
        <v>18056.400000000001</v>
      </c>
      <c r="F493">
        <f t="shared" si="39"/>
        <v>27060</v>
      </c>
    </row>
    <row r="494" spans="1:6" x14ac:dyDescent="0.25">
      <c r="A494">
        <v>493</v>
      </c>
      <c r="B494">
        <f t="shared" si="35"/>
        <v>9021.8999999999978</v>
      </c>
      <c r="C494">
        <f t="shared" si="36"/>
        <v>5413.1399999999985</v>
      </c>
      <c r="D494">
        <f t="shared" si="37"/>
        <v>3608.7599999999993</v>
      </c>
      <c r="E494">
        <f t="shared" si="38"/>
        <v>18093.100000000002</v>
      </c>
      <c r="F494">
        <f t="shared" si="39"/>
        <v>27115</v>
      </c>
    </row>
    <row r="495" spans="1:6" x14ac:dyDescent="0.25">
      <c r="A495">
        <v>494</v>
      </c>
      <c r="B495">
        <f t="shared" si="35"/>
        <v>9040.1999999999989</v>
      </c>
      <c r="C495">
        <f t="shared" si="36"/>
        <v>5424.119999999999</v>
      </c>
      <c r="D495">
        <f t="shared" si="37"/>
        <v>3616.08</v>
      </c>
      <c r="E495">
        <f t="shared" si="38"/>
        <v>18129.800000000003</v>
      </c>
      <c r="F495">
        <f t="shared" si="39"/>
        <v>27170</v>
      </c>
    </row>
    <row r="496" spans="1:6" x14ac:dyDescent="0.25">
      <c r="A496">
        <v>495</v>
      </c>
      <c r="B496">
        <f t="shared" si="35"/>
        <v>9058.4999999999982</v>
      </c>
      <c r="C496">
        <f t="shared" si="36"/>
        <v>5435.0999999999985</v>
      </c>
      <c r="D496">
        <f t="shared" si="37"/>
        <v>3623.3999999999996</v>
      </c>
      <c r="E496">
        <f t="shared" si="38"/>
        <v>18166.5</v>
      </c>
      <c r="F496">
        <f t="shared" si="39"/>
        <v>27225</v>
      </c>
    </row>
    <row r="497" spans="1:6" x14ac:dyDescent="0.25">
      <c r="A497">
        <v>496</v>
      </c>
      <c r="B497">
        <f t="shared" si="35"/>
        <v>9076.7999999999993</v>
      </c>
      <c r="C497">
        <f t="shared" si="36"/>
        <v>5446.079999999999</v>
      </c>
      <c r="D497">
        <f t="shared" si="37"/>
        <v>3630.72</v>
      </c>
      <c r="E497">
        <f t="shared" si="38"/>
        <v>18203.2</v>
      </c>
      <c r="F497">
        <f t="shared" si="39"/>
        <v>27280</v>
      </c>
    </row>
    <row r="498" spans="1:6" x14ac:dyDescent="0.25">
      <c r="A498">
        <v>497</v>
      </c>
      <c r="B498">
        <f t="shared" si="35"/>
        <v>9095.0999999999985</v>
      </c>
      <c r="C498">
        <f t="shared" si="36"/>
        <v>5457.0599999999986</v>
      </c>
      <c r="D498">
        <f t="shared" si="37"/>
        <v>3638.0399999999995</v>
      </c>
      <c r="E498">
        <f t="shared" si="38"/>
        <v>18239.900000000001</v>
      </c>
      <c r="F498">
        <f t="shared" si="39"/>
        <v>27335</v>
      </c>
    </row>
    <row r="499" spans="1:6" x14ac:dyDescent="0.25">
      <c r="A499">
        <v>498</v>
      </c>
      <c r="B499">
        <f t="shared" si="35"/>
        <v>9113.3999999999978</v>
      </c>
      <c r="C499">
        <f t="shared" si="36"/>
        <v>5468.0399999999981</v>
      </c>
      <c r="D499">
        <f t="shared" si="37"/>
        <v>3645.3599999999992</v>
      </c>
      <c r="E499">
        <f t="shared" si="38"/>
        <v>18276.600000000002</v>
      </c>
      <c r="F499">
        <f t="shared" si="39"/>
        <v>27390</v>
      </c>
    </row>
    <row r="500" spans="1:6" x14ac:dyDescent="0.25">
      <c r="A500">
        <v>499</v>
      </c>
      <c r="B500">
        <f t="shared" si="35"/>
        <v>9131.6999999999989</v>
      </c>
      <c r="C500">
        <f t="shared" si="36"/>
        <v>5479.0199999999995</v>
      </c>
      <c r="D500">
        <f t="shared" si="37"/>
        <v>3652.68</v>
      </c>
      <c r="E500">
        <f t="shared" si="38"/>
        <v>18313.300000000003</v>
      </c>
      <c r="F500">
        <f t="shared" si="39"/>
        <v>27445</v>
      </c>
    </row>
    <row r="501" spans="1:6" x14ac:dyDescent="0.25">
      <c r="A501">
        <v>500</v>
      </c>
      <c r="B501">
        <f t="shared" si="35"/>
        <v>9149.9999999999982</v>
      </c>
      <c r="C501">
        <f t="shared" si="36"/>
        <v>5489.9999999999991</v>
      </c>
      <c r="D501">
        <f t="shared" si="37"/>
        <v>3659.9999999999995</v>
      </c>
      <c r="E501">
        <f t="shared" si="38"/>
        <v>18350</v>
      </c>
      <c r="F501">
        <f t="shared" si="39"/>
        <v>27500</v>
      </c>
    </row>
    <row r="502" spans="1:6" x14ac:dyDescent="0.25">
      <c r="A502">
        <v>501</v>
      </c>
      <c r="B502">
        <f t="shared" si="35"/>
        <v>9168.2999999999993</v>
      </c>
      <c r="C502">
        <f t="shared" si="36"/>
        <v>5500.98</v>
      </c>
      <c r="D502">
        <f t="shared" si="37"/>
        <v>3667.3199999999997</v>
      </c>
      <c r="E502">
        <f t="shared" si="38"/>
        <v>18386.7</v>
      </c>
      <c r="F502">
        <f t="shared" si="39"/>
        <v>27555</v>
      </c>
    </row>
    <row r="503" spans="1:6" x14ac:dyDescent="0.25">
      <c r="A503">
        <v>502</v>
      </c>
      <c r="B503">
        <f t="shared" si="35"/>
        <v>9186.5999999999985</v>
      </c>
      <c r="C503">
        <f t="shared" si="36"/>
        <v>5511.9599999999991</v>
      </c>
      <c r="D503">
        <f t="shared" si="37"/>
        <v>3674.6399999999994</v>
      </c>
      <c r="E503">
        <f t="shared" si="38"/>
        <v>18423.400000000001</v>
      </c>
      <c r="F503">
        <f t="shared" si="39"/>
        <v>27610</v>
      </c>
    </row>
    <row r="504" spans="1:6" x14ac:dyDescent="0.25">
      <c r="A504">
        <v>503</v>
      </c>
      <c r="B504">
        <f t="shared" si="35"/>
        <v>9204.8999999999978</v>
      </c>
      <c r="C504">
        <f t="shared" si="36"/>
        <v>5522.9399999999987</v>
      </c>
      <c r="D504">
        <f t="shared" si="37"/>
        <v>3681.9599999999991</v>
      </c>
      <c r="E504">
        <f t="shared" si="38"/>
        <v>18460.100000000002</v>
      </c>
      <c r="F504">
        <f t="shared" si="39"/>
        <v>27665</v>
      </c>
    </row>
  </sheetData>
  <pageMargins left="0.7" right="0.7" top="0.75" bottom="0.75" header="0.3" footer="0.3"/>
  <pageSetup scale="8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327"/>
  <sheetViews>
    <sheetView topLeftCell="A8" workbookViewId="0">
      <selection activeCell="L42" sqref="L42"/>
    </sheetView>
  </sheetViews>
  <sheetFormatPr defaultRowHeight="15" x14ac:dyDescent="0.25"/>
  <cols>
    <col min="1" max="1" width="16.42578125" bestFit="1" customWidth="1"/>
    <col min="10" max="10" width="23.28515625" bestFit="1" customWidth="1"/>
    <col min="11" max="11" width="14.85546875" bestFit="1" customWidth="1"/>
    <col min="13" max="13" width="9.7109375" bestFit="1" customWidth="1"/>
    <col min="14" max="14" width="10.7109375" bestFit="1" customWidth="1"/>
    <col min="15" max="16" width="9.7109375" bestFit="1" customWidth="1"/>
  </cols>
  <sheetData>
    <row r="1" spans="1:16" x14ac:dyDescent="0.25">
      <c r="A1" t="s">
        <v>70</v>
      </c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J1" s="33" t="s">
        <v>78</v>
      </c>
      <c r="K1" t="s">
        <v>79</v>
      </c>
      <c r="O1" s="31">
        <v>42824</v>
      </c>
      <c r="P1" s="31">
        <f>O1-56</f>
        <v>42768</v>
      </c>
    </row>
    <row r="2" spans="1:16" x14ac:dyDescent="0.25">
      <c r="A2" s="31">
        <v>42768</v>
      </c>
      <c r="B2" t="s">
        <v>123</v>
      </c>
      <c r="C2">
        <v>-21.87</v>
      </c>
      <c r="D2">
        <v>1371.82</v>
      </c>
      <c r="E2" t="s">
        <v>103</v>
      </c>
      <c r="J2" s="32" t="s">
        <v>81</v>
      </c>
      <c r="K2" s="9">
        <v>-161.82000000000002</v>
      </c>
      <c r="L2">
        <f>K2/4</f>
        <v>-40.455000000000005</v>
      </c>
    </row>
    <row r="3" spans="1:16" x14ac:dyDescent="0.25">
      <c r="A3" s="31">
        <v>42768</v>
      </c>
      <c r="B3" t="s">
        <v>124</v>
      </c>
      <c r="C3">
        <v>-1</v>
      </c>
      <c r="D3">
        <v>1393.69</v>
      </c>
      <c r="E3" t="s">
        <v>84</v>
      </c>
      <c r="J3" s="32" t="s">
        <v>83</v>
      </c>
      <c r="K3" s="9">
        <v>-35.760000000000005</v>
      </c>
      <c r="L3">
        <f t="shared" ref="L3:L42" si="0">K3/4</f>
        <v>-8.9400000000000013</v>
      </c>
    </row>
    <row r="4" spans="1:16" x14ac:dyDescent="0.25">
      <c r="A4" s="31">
        <v>42768</v>
      </c>
      <c r="B4" t="s">
        <v>125</v>
      </c>
      <c r="C4">
        <v>-1.62</v>
      </c>
      <c r="D4">
        <v>1394.69</v>
      </c>
      <c r="E4" t="s">
        <v>82</v>
      </c>
      <c r="J4" s="32" t="s">
        <v>85</v>
      </c>
      <c r="K4" s="9">
        <v>1.0000000000001563E-2</v>
      </c>
      <c r="L4">
        <f t="shared" si="0"/>
        <v>2.5000000000003908E-3</v>
      </c>
    </row>
    <row r="5" spans="1:16" x14ac:dyDescent="0.25">
      <c r="A5" s="31">
        <v>42768</v>
      </c>
      <c r="B5" t="s">
        <v>126</v>
      </c>
      <c r="C5">
        <v>-10</v>
      </c>
      <c r="D5">
        <v>1396.31</v>
      </c>
      <c r="E5" t="s">
        <v>89</v>
      </c>
      <c r="J5" s="32" t="s">
        <v>88</v>
      </c>
      <c r="K5" s="9">
        <v>-47.449999999999996</v>
      </c>
      <c r="L5">
        <f t="shared" si="0"/>
        <v>-11.862499999999999</v>
      </c>
    </row>
    <row r="6" spans="1:16" x14ac:dyDescent="0.25">
      <c r="A6" s="31">
        <v>42768</v>
      </c>
      <c r="B6" t="s">
        <v>127</v>
      </c>
      <c r="C6">
        <v>1001.52</v>
      </c>
      <c r="D6">
        <v>1406.31</v>
      </c>
      <c r="E6" t="s">
        <v>87</v>
      </c>
      <c r="J6" s="32" t="s">
        <v>89</v>
      </c>
      <c r="K6" s="9">
        <v>-30</v>
      </c>
      <c r="L6">
        <f t="shared" si="0"/>
        <v>-7.5</v>
      </c>
    </row>
    <row r="7" spans="1:16" x14ac:dyDescent="0.25">
      <c r="A7" s="31">
        <v>42769</v>
      </c>
      <c r="B7" t="s">
        <v>106</v>
      </c>
      <c r="C7">
        <v>-50.71</v>
      </c>
      <c r="D7">
        <v>1364.09</v>
      </c>
      <c r="E7" t="s">
        <v>105</v>
      </c>
      <c r="F7" t="s">
        <v>96</v>
      </c>
      <c r="J7" s="32" t="s">
        <v>90</v>
      </c>
      <c r="K7" s="9">
        <v>898.92000000000007</v>
      </c>
      <c r="L7">
        <f t="shared" si="0"/>
        <v>224.73000000000002</v>
      </c>
    </row>
    <row r="8" spans="1:16" x14ac:dyDescent="0.25">
      <c r="A8" s="31">
        <v>42769</v>
      </c>
      <c r="B8" t="s">
        <v>128</v>
      </c>
      <c r="C8">
        <v>-2.16</v>
      </c>
      <c r="D8">
        <v>1414.8</v>
      </c>
      <c r="E8" t="s">
        <v>82</v>
      </c>
      <c r="J8" s="32" t="s">
        <v>82</v>
      </c>
      <c r="K8" s="9">
        <v>-130.77000000000001</v>
      </c>
      <c r="L8">
        <f t="shared" si="0"/>
        <v>-32.692500000000003</v>
      </c>
    </row>
    <row r="9" spans="1:16" x14ac:dyDescent="0.25">
      <c r="A9" s="31">
        <v>42769</v>
      </c>
      <c r="B9" t="s">
        <v>129</v>
      </c>
      <c r="C9">
        <v>-1</v>
      </c>
      <c r="D9">
        <v>1416.96</v>
      </c>
      <c r="E9" t="s">
        <v>84</v>
      </c>
      <c r="J9" s="32" t="s">
        <v>91</v>
      </c>
      <c r="K9" s="9">
        <v>-233</v>
      </c>
      <c r="L9">
        <f t="shared" si="0"/>
        <v>-58.25</v>
      </c>
    </row>
    <row r="10" spans="1:16" x14ac:dyDescent="0.25">
      <c r="A10" s="31">
        <v>42769</v>
      </c>
      <c r="B10" t="s">
        <v>130</v>
      </c>
      <c r="C10">
        <v>-0.35</v>
      </c>
      <c r="D10">
        <v>1417.96</v>
      </c>
      <c r="E10" t="s">
        <v>98</v>
      </c>
      <c r="J10" s="32" t="s">
        <v>92</v>
      </c>
      <c r="K10" s="9">
        <v>-214.34</v>
      </c>
      <c r="L10">
        <f t="shared" si="0"/>
        <v>-53.585000000000001</v>
      </c>
    </row>
    <row r="11" spans="1:16" x14ac:dyDescent="0.25">
      <c r="A11" s="31">
        <v>42769</v>
      </c>
      <c r="B11" t="s">
        <v>131</v>
      </c>
      <c r="C11">
        <v>-3.51</v>
      </c>
      <c r="D11">
        <v>1418.31</v>
      </c>
      <c r="E11" t="s">
        <v>84</v>
      </c>
      <c r="J11" s="32" t="s">
        <v>93</v>
      </c>
      <c r="K11" s="9">
        <v>-33.9</v>
      </c>
      <c r="L11">
        <f t="shared" si="0"/>
        <v>-8.4749999999999996</v>
      </c>
      <c r="M11" s="31"/>
      <c r="N11" s="31"/>
    </row>
    <row r="12" spans="1:16" x14ac:dyDescent="0.25">
      <c r="A12" s="31">
        <v>42769</v>
      </c>
      <c r="B12" t="s">
        <v>132</v>
      </c>
      <c r="C12">
        <v>50</v>
      </c>
      <c r="D12">
        <v>1421.82</v>
      </c>
      <c r="E12" t="s">
        <v>90</v>
      </c>
      <c r="J12" s="32" t="s">
        <v>80</v>
      </c>
      <c r="K12" s="9">
        <v>-153.31</v>
      </c>
      <c r="L12">
        <f t="shared" si="0"/>
        <v>-38.327500000000001</v>
      </c>
    </row>
    <row r="13" spans="1:16" x14ac:dyDescent="0.25">
      <c r="A13" s="31">
        <v>42771</v>
      </c>
      <c r="B13" t="s">
        <v>133</v>
      </c>
      <c r="C13">
        <v>-10</v>
      </c>
      <c r="D13">
        <v>5</v>
      </c>
      <c r="E13" t="s">
        <v>99</v>
      </c>
      <c r="J13" s="32" t="s">
        <v>98</v>
      </c>
      <c r="K13" s="9">
        <v>-1.96</v>
      </c>
      <c r="L13">
        <f t="shared" si="0"/>
        <v>-0.49</v>
      </c>
    </row>
    <row r="14" spans="1:16" x14ac:dyDescent="0.25">
      <c r="A14" s="31">
        <v>42772</v>
      </c>
      <c r="B14" t="s">
        <v>134</v>
      </c>
      <c r="C14">
        <v>-7</v>
      </c>
      <c r="D14">
        <v>634.09</v>
      </c>
      <c r="E14" t="s">
        <v>113</v>
      </c>
      <c r="F14" t="s">
        <v>96</v>
      </c>
      <c r="J14" s="32" t="s">
        <v>100</v>
      </c>
      <c r="K14" s="9">
        <v>-42.739999999999995</v>
      </c>
      <c r="L14">
        <f t="shared" si="0"/>
        <v>-10.684999999999999</v>
      </c>
    </row>
    <row r="15" spans="1:16" x14ac:dyDescent="0.25">
      <c r="A15" s="31">
        <v>42772</v>
      </c>
      <c r="B15" t="s">
        <v>111</v>
      </c>
      <c r="C15">
        <v>-57.99</v>
      </c>
      <c r="D15">
        <v>641.09</v>
      </c>
      <c r="E15" t="s">
        <v>109</v>
      </c>
      <c r="F15" t="s">
        <v>96</v>
      </c>
      <c r="J15" s="32" t="s">
        <v>101</v>
      </c>
      <c r="K15" s="9">
        <v>-175.8</v>
      </c>
      <c r="L15">
        <f t="shared" si="0"/>
        <v>-43.95</v>
      </c>
    </row>
    <row r="16" spans="1:16" x14ac:dyDescent="0.25">
      <c r="A16" s="31">
        <v>42772</v>
      </c>
      <c r="B16" t="s">
        <v>110</v>
      </c>
      <c r="C16">
        <v>-69.88</v>
      </c>
      <c r="D16">
        <v>699.08</v>
      </c>
      <c r="E16" t="s">
        <v>101</v>
      </c>
      <c r="F16" t="s">
        <v>96</v>
      </c>
      <c r="J16" s="32" t="s">
        <v>102</v>
      </c>
      <c r="K16" s="9">
        <v>-8.64</v>
      </c>
      <c r="L16">
        <f t="shared" si="0"/>
        <v>-2.16</v>
      </c>
    </row>
    <row r="17" spans="1:12" x14ac:dyDescent="0.25">
      <c r="A17" s="31">
        <v>42772</v>
      </c>
      <c r="B17" t="s">
        <v>112</v>
      </c>
      <c r="C17">
        <v>-123</v>
      </c>
      <c r="D17">
        <v>768.96</v>
      </c>
      <c r="E17" t="s">
        <v>90</v>
      </c>
      <c r="J17" s="32" t="s">
        <v>104</v>
      </c>
      <c r="K17" s="9">
        <v>-125</v>
      </c>
      <c r="L17">
        <f t="shared" si="0"/>
        <v>-31.25</v>
      </c>
    </row>
    <row r="18" spans="1:12" x14ac:dyDescent="0.25">
      <c r="A18" s="31">
        <v>42772</v>
      </c>
      <c r="B18" t="s">
        <v>135</v>
      </c>
      <c r="C18">
        <v>-12.94</v>
      </c>
      <c r="D18">
        <v>891.96</v>
      </c>
      <c r="E18" t="s">
        <v>116</v>
      </c>
      <c r="J18" s="32" t="s">
        <v>97</v>
      </c>
      <c r="K18" s="9">
        <v>-43.86</v>
      </c>
      <c r="L18">
        <f t="shared" si="0"/>
        <v>-10.965</v>
      </c>
    </row>
    <row r="19" spans="1:12" x14ac:dyDescent="0.25">
      <c r="A19" s="31">
        <v>42772</v>
      </c>
      <c r="B19" t="s">
        <v>136</v>
      </c>
      <c r="C19">
        <v>-23.2</v>
      </c>
      <c r="D19">
        <v>904.9</v>
      </c>
      <c r="E19" t="s">
        <v>116</v>
      </c>
      <c r="J19" s="32" t="s">
        <v>103</v>
      </c>
      <c r="K19" s="9">
        <v>-161.28</v>
      </c>
      <c r="L19">
        <f t="shared" si="0"/>
        <v>-40.32</v>
      </c>
    </row>
    <row r="20" spans="1:12" x14ac:dyDescent="0.25">
      <c r="A20" s="31">
        <v>42772</v>
      </c>
      <c r="B20" t="s">
        <v>137</v>
      </c>
      <c r="C20">
        <v>-4.3</v>
      </c>
      <c r="D20">
        <v>928.1</v>
      </c>
      <c r="E20" t="s">
        <v>84</v>
      </c>
      <c r="J20" s="32" t="s">
        <v>105</v>
      </c>
      <c r="K20" s="9">
        <v>-137.65</v>
      </c>
      <c r="L20">
        <f t="shared" si="0"/>
        <v>-34.412500000000001</v>
      </c>
    </row>
    <row r="21" spans="1:12" x14ac:dyDescent="0.25">
      <c r="A21" s="31">
        <v>42772</v>
      </c>
      <c r="B21" t="s">
        <v>138</v>
      </c>
      <c r="C21">
        <v>-23.2</v>
      </c>
      <c r="D21">
        <v>932.4</v>
      </c>
      <c r="E21" t="s">
        <v>116</v>
      </c>
      <c r="J21" s="32" t="s">
        <v>99</v>
      </c>
      <c r="K21" s="9">
        <v>-442.47</v>
      </c>
      <c r="L21">
        <f t="shared" si="0"/>
        <v>-110.61750000000001</v>
      </c>
    </row>
    <row r="22" spans="1:12" x14ac:dyDescent="0.25">
      <c r="A22" s="31">
        <v>42772</v>
      </c>
      <c r="B22" t="s">
        <v>139</v>
      </c>
      <c r="C22">
        <v>-23.74</v>
      </c>
      <c r="D22">
        <v>955.6</v>
      </c>
      <c r="E22" t="s">
        <v>116</v>
      </c>
      <c r="J22" s="32" t="s">
        <v>107</v>
      </c>
      <c r="K22" s="9">
        <v>-6.0300000000000011</v>
      </c>
      <c r="L22">
        <f t="shared" si="0"/>
        <v>-1.5075000000000003</v>
      </c>
    </row>
    <row r="23" spans="1:12" x14ac:dyDescent="0.25">
      <c r="A23" s="31">
        <v>42772</v>
      </c>
      <c r="B23" t="s">
        <v>140</v>
      </c>
      <c r="C23">
        <v>-37.81</v>
      </c>
      <c r="D23">
        <v>979.34</v>
      </c>
      <c r="E23" t="s">
        <v>116</v>
      </c>
      <c r="J23" s="32" t="s">
        <v>108</v>
      </c>
      <c r="K23" s="9">
        <v>-5.48</v>
      </c>
      <c r="L23">
        <f t="shared" si="0"/>
        <v>-1.37</v>
      </c>
    </row>
    <row r="24" spans="1:12" x14ac:dyDescent="0.25">
      <c r="A24" s="31">
        <v>42772</v>
      </c>
      <c r="B24" t="s">
        <v>141</v>
      </c>
      <c r="C24">
        <v>-18.91</v>
      </c>
      <c r="D24">
        <v>1017.15</v>
      </c>
      <c r="E24" t="s">
        <v>116</v>
      </c>
      <c r="J24" s="32" t="s">
        <v>109</v>
      </c>
      <c r="K24" s="9">
        <v>-173.97</v>
      </c>
      <c r="L24">
        <f t="shared" si="0"/>
        <v>-43.4925</v>
      </c>
    </row>
    <row r="25" spans="1:12" x14ac:dyDescent="0.25">
      <c r="A25" s="31">
        <v>42772</v>
      </c>
      <c r="B25" t="s">
        <v>142</v>
      </c>
      <c r="C25">
        <v>-10.78</v>
      </c>
      <c r="D25">
        <v>1036.06</v>
      </c>
      <c r="E25" t="s">
        <v>88</v>
      </c>
      <c r="J25" s="32" t="s">
        <v>62</v>
      </c>
      <c r="K25" s="9">
        <v>0</v>
      </c>
      <c r="L25">
        <f t="shared" si="0"/>
        <v>0</v>
      </c>
    </row>
    <row r="26" spans="1:12" x14ac:dyDescent="0.25">
      <c r="A26" s="31">
        <v>42772</v>
      </c>
      <c r="B26" t="s">
        <v>143</v>
      </c>
      <c r="C26">
        <v>-9.6999999999999993</v>
      </c>
      <c r="D26">
        <v>1046.8399999999999</v>
      </c>
      <c r="E26" t="s">
        <v>88</v>
      </c>
      <c r="J26" s="32" t="s">
        <v>84</v>
      </c>
      <c r="K26" s="9">
        <v>-242.17000000000004</v>
      </c>
      <c r="L26">
        <f t="shared" si="0"/>
        <v>-60.542500000000011</v>
      </c>
    </row>
    <row r="27" spans="1:12" x14ac:dyDescent="0.25">
      <c r="A27" s="31">
        <v>42772</v>
      </c>
      <c r="B27" t="s">
        <v>144</v>
      </c>
      <c r="C27">
        <v>-12.82</v>
      </c>
      <c r="D27">
        <v>1056.54</v>
      </c>
      <c r="E27" t="s">
        <v>99</v>
      </c>
      <c r="J27" s="32" t="s">
        <v>45</v>
      </c>
      <c r="K27" s="9">
        <v>-16.72</v>
      </c>
      <c r="L27">
        <f t="shared" si="0"/>
        <v>-4.18</v>
      </c>
    </row>
    <row r="28" spans="1:12" x14ac:dyDescent="0.25">
      <c r="A28" s="31">
        <v>42772</v>
      </c>
      <c r="B28" t="s">
        <v>145</v>
      </c>
      <c r="C28">
        <v>-239.47</v>
      </c>
      <c r="D28">
        <v>1069.3599999999999</v>
      </c>
      <c r="E28" t="s">
        <v>80</v>
      </c>
      <c r="J28" s="32" t="s">
        <v>87</v>
      </c>
      <c r="K28" s="9">
        <v>5119.72</v>
      </c>
      <c r="L28">
        <f t="shared" si="0"/>
        <v>1279.93</v>
      </c>
    </row>
    <row r="29" spans="1:12" x14ac:dyDescent="0.25">
      <c r="A29" s="31">
        <v>42772</v>
      </c>
      <c r="B29" t="s">
        <v>146</v>
      </c>
      <c r="C29">
        <v>-2.97</v>
      </c>
      <c r="D29">
        <v>1308.83</v>
      </c>
      <c r="E29" t="s">
        <v>84</v>
      </c>
      <c r="J29" s="32" t="s">
        <v>113</v>
      </c>
      <c r="K29" s="9">
        <v>-12</v>
      </c>
      <c r="L29">
        <f t="shared" si="0"/>
        <v>-3</v>
      </c>
    </row>
    <row r="30" spans="1:12" x14ac:dyDescent="0.25">
      <c r="A30" s="31">
        <v>42772</v>
      </c>
      <c r="B30" t="s">
        <v>147</v>
      </c>
      <c r="C30">
        <v>-52.29</v>
      </c>
      <c r="D30">
        <v>1311.8</v>
      </c>
      <c r="E30" t="s">
        <v>115</v>
      </c>
      <c r="J30" s="32" t="s">
        <v>114</v>
      </c>
      <c r="K30" s="9">
        <v>-1326</v>
      </c>
      <c r="L30">
        <f t="shared" si="0"/>
        <v>-331.5</v>
      </c>
    </row>
    <row r="31" spans="1:12" x14ac:dyDescent="0.25">
      <c r="A31" s="31">
        <v>42773</v>
      </c>
      <c r="B31" t="s">
        <v>148</v>
      </c>
      <c r="C31">
        <v>-119.98</v>
      </c>
      <c r="D31">
        <v>729.11</v>
      </c>
      <c r="E31" t="s">
        <v>90</v>
      </c>
      <c r="J31" s="32" t="s">
        <v>95</v>
      </c>
      <c r="K31" s="9">
        <v>-78.22</v>
      </c>
      <c r="L31">
        <f t="shared" si="0"/>
        <v>-19.555</v>
      </c>
    </row>
    <row r="32" spans="1:12" x14ac:dyDescent="0.25">
      <c r="A32" s="31">
        <v>42773</v>
      </c>
      <c r="B32" t="s">
        <v>149</v>
      </c>
      <c r="C32">
        <v>75</v>
      </c>
      <c r="D32">
        <v>849.09</v>
      </c>
      <c r="E32" t="s">
        <v>90</v>
      </c>
      <c r="F32" t="s">
        <v>96</v>
      </c>
      <c r="J32" s="32" t="s">
        <v>115</v>
      </c>
      <c r="K32" s="9">
        <v>-157.25</v>
      </c>
      <c r="L32">
        <f t="shared" si="0"/>
        <v>-39.3125</v>
      </c>
    </row>
    <row r="33" spans="1:12" x14ac:dyDescent="0.25">
      <c r="A33" s="31">
        <v>42773</v>
      </c>
      <c r="B33" t="s">
        <v>150</v>
      </c>
      <c r="C33">
        <v>140</v>
      </c>
      <c r="D33">
        <v>774.09</v>
      </c>
      <c r="E33" t="s">
        <v>90</v>
      </c>
      <c r="J33" s="32" t="s">
        <v>116</v>
      </c>
      <c r="K33" s="9">
        <v>-457.7</v>
      </c>
      <c r="L33">
        <f t="shared" si="0"/>
        <v>-114.425</v>
      </c>
    </row>
    <row r="34" spans="1:12" x14ac:dyDescent="0.25">
      <c r="A34" s="31">
        <v>42774</v>
      </c>
      <c r="B34" t="s">
        <v>112</v>
      </c>
      <c r="C34">
        <v>-70</v>
      </c>
      <c r="D34">
        <v>714.48</v>
      </c>
      <c r="E34" t="s">
        <v>90</v>
      </c>
      <c r="J34" s="32" t="s">
        <v>117</v>
      </c>
      <c r="K34" s="9">
        <v>-93.94</v>
      </c>
      <c r="L34">
        <f t="shared" si="0"/>
        <v>-23.484999999999999</v>
      </c>
    </row>
    <row r="35" spans="1:12" x14ac:dyDescent="0.25">
      <c r="A35" s="31">
        <v>42774</v>
      </c>
      <c r="B35" t="s">
        <v>151</v>
      </c>
      <c r="C35">
        <v>-2.48</v>
      </c>
      <c r="D35">
        <v>784.48</v>
      </c>
      <c r="E35" t="s">
        <v>82</v>
      </c>
      <c r="J35" s="32" t="s">
        <v>119</v>
      </c>
      <c r="K35" s="9">
        <v>-0.71999999999999886</v>
      </c>
      <c r="L35">
        <f t="shared" si="0"/>
        <v>-0.17999999999999972</v>
      </c>
    </row>
    <row r="36" spans="1:12" x14ac:dyDescent="0.25">
      <c r="A36" s="31">
        <v>42774</v>
      </c>
      <c r="B36" t="s">
        <v>152</v>
      </c>
      <c r="C36">
        <v>-2.15</v>
      </c>
      <c r="D36">
        <v>786.96</v>
      </c>
      <c r="E36" t="s">
        <v>84</v>
      </c>
      <c r="J36" s="32" t="s">
        <v>280</v>
      </c>
      <c r="K36" s="9">
        <v>-78.099999999999994</v>
      </c>
      <c r="L36">
        <f t="shared" si="0"/>
        <v>-19.524999999999999</v>
      </c>
    </row>
    <row r="37" spans="1:12" x14ac:dyDescent="0.25">
      <c r="A37" s="31">
        <v>42774</v>
      </c>
      <c r="B37" t="s">
        <v>153</v>
      </c>
      <c r="C37">
        <v>60</v>
      </c>
      <c r="D37">
        <v>789.11</v>
      </c>
      <c r="E37" t="s">
        <v>90</v>
      </c>
      <c r="J37" s="32" t="s">
        <v>313</v>
      </c>
      <c r="K37" s="9">
        <v>-178.41000000000003</v>
      </c>
      <c r="L37">
        <f t="shared" si="0"/>
        <v>-44.602500000000006</v>
      </c>
    </row>
    <row r="38" spans="1:12" x14ac:dyDescent="0.25">
      <c r="A38" s="31">
        <v>42775</v>
      </c>
      <c r="B38" t="s">
        <v>154</v>
      </c>
      <c r="C38">
        <v>-179.97</v>
      </c>
      <c r="D38">
        <v>948.59</v>
      </c>
      <c r="E38" t="s">
        <v>90</v>
      </c>
      <c r="J38" s="32" t="s">
        <v>410</v>
      </c>
      <c r="K38" s="9">
        <v>-200</v>
      </c>
      <c r="L38">
        <f t="shared" si="0"/>
        <v>-50</v>
      </c>
    </row>
    <row r="39" spans="1:12" x14ac:dyDescent="0.25">
      <c r="A39" s="31">
        <v>42775</v>
      </c>
      <c r="B39" t="s">
        <v>155</v>
      </c>
      <c r="C39">
        <v>-10</v>
      </c>
      <c r="D39">
        <v>1128.56</v>
      </c>
      <c r="E39" t="s">
        <v>103</v>
      </c>
      <c r="J39" s="32" t="s">
        <v>434</v>
      </c>
      <c r="K39" s="9">
        <v>140</v>
      </c>
      <c r="L39">
        <f t="shared" si="0"/>
        <v>35</v>
      </c>
    </row>
    <row r="40" spans="1:12" x14ac:dyDescent="0.25">
      <c r="A40" s="31">
        <v>42775</v>
      </c>
      <c r="B40" t="s">
        <v>156</v>
      </c>
      <c r="C40">
        <v>-119.98</v>
      </c>
      <c r="D40">
        <v>1138.56</v>
      </c>
      <c r="E40" t="s">
        <v>90</v>
      </c>
      <c r="J40" s="32" t="s">
        <v>399</v>
      </c>
      <c r="K40" s="9">
        <v>-84.63</v>
      </c>
      <c r="L40">
        <f t="shared" si="0"/>
        <v>-21.157499999999999</v>
      </c>
    </row>
    <row r="41" spans="1:12" x14ac:dyDescent="0.25">
      <c r="A41" s="31">
        <v>42775</v>
      </c>
      <c r="B41" t="s">
        <v>157</v>
      </c>
      <c r="C41">
        <v>-11.88</v>
      </c>
      <c r="D41">
        <v>1258.54</v>
      </c>
      <c r="E41" t="s">
        <v>83</v>
      </c>
      <c r="J41" s="32" t="s">
        <v>394</v>
      </c>
      <c r="K41" s="9">
        <v>-1.5</v>
      </c>
      <c r="L41">
        <f t="shared" si="0"/>
        <v>-0.375</v>
      </c>
    </row>
    <row r="42" spans="1:12" x14ac:dyDescent="0.25">
      <c r="A42" s="31">
        <v>42775</v>
      </c>
      <c r="B42" t="s">
        <v>158</v>
      </c>
      <c r="C42">
        <v>-7.53</v>
      </c>
      <c r="D42">
        <v>1270.42</v>
      </c>
      <c r="E42" t="s">
        <v>84</v>
      </c>
      <c r="J42" s="32" t="s">
        <v>430</v>
      </c>
      <c r="K42" s="9">
        <v>-21</v>
      </c>
      <c r="L42">
        <f t="shared" si="0"/>
        <v>-5.25</v>
      </c>
    </row>
    <row r="43" spans="1:12" x14ac:dyDescent="0.25">
      <c r="A43" s="31">
        <v>42775</v>
      </c>
      <c r="B43" t="s">
        <v>159</v>
      </c>
      <c r="C43">
        <v>-5</v>
      </c>
      <c r="D43">
        <v>1277.95</v>
      </c>
      <c r="E43" t="s">
        <v>84</v>
      </c>
      <c r="J43" s="32" t="s">
        <v>121</v>
      </c>
      <c r="K43" s="9">
        <v>845.06000000000051</v>
      </c>
      <c r="L43">
        <f>SUM(L2:L42)</f>
        <v>211.26500000000013</v>
      </c>
    </row>
    <row r="44" spans="1:12" x14ac:dyDescent="0.25">
      <c r="A44" s="31">
        <v>42775</v>
      </c>
      <c r="B44" t="s">
        <v>160</v>
      </c>
      <c r="C44">
        <v>-1</v>
      </c>
      <c r="D44">
        <v>1282.95</v>
      </c>
      <c r="E44" t="s">
        <v>84</v>
      </c>
    </row>
    <row r="45" spans="1:12" x14ac:dyDescent="0.25">
      <c r="A45" s="31">
        <v>42775</v>
      </c>
      <c r="B45" t="s">
        <v>161</v>
      </c>
      <c r="C45">
        <v>239.47</v>
      </c>
      <c r="D45">
        <v>1283.95</v>
      </c>
      <c r="E45" t="s">
        <v>80</v>
      </c>
    </row>
    <row r="46" spans="1:12" x14ac:dyDescent="0.25">
      <c r="A46" s="31">
        <v>42775</v>
      </c>
      <c r="B46" t="s">
        <v>162</v>
      </c>
      <c r="C46">
        <v>330</v>
      </c>
      <c r="D46">
        <v>1044.48</v>
      </c>
      <c r="E46" t="s">
        <v>90</v>
      </c>
    </row>
    <row r="47" spans="1:12" x14ac:dyDescent="0.25">
      <c r="A47" s="31">
        <v>42776</v>
      </c>
      <c r="B47" t="s">
        <v>163</v>
      </c>
      <c r="C47">
        <v>-50</v>
      </c>
      <c r="D47">
        <v>687.71</v>
      </c>
      <c r="E47" t="s">
        <v>90</v>
      </c>
    </row>
    <row r="48" spans="1:12" x14ac:dyDescent="0.25">
      <c r="A48" s="31">
        <v>42776</v>
      </c>
      <c r="B48" t="s">
        <v>164</v>
      </c>
      <c r="C48">
        <v>-50</v>
      </c>
      <c r="D48">
        <v>737.71</v>
      </c>
      <c r="E48" t="s">
        <v>90</v>
      </c>
    </row>
    <row r="49" spans="1:5" x14ac:dyDescent="0.25">
      <c r="A49" s="31">
        <v>42776</v>
      </c>
      <c r="B49" t="s">
        <v>165</v>
      </c>
      <c r="C49">
        <v>-65</v>
      </c>
      <c r="D49">
        <v>787.71</v>
      </c>
      <c r="E49" t="s">
        <v>90</v>
      </c>
    </row>
    <row r="50" spans="1:5" x14ac:dyDescent="0.25">
      <c r="A50" s="31">
        <v>42776</v>
      </c>
      <c r="B50" t="s">
        <v>166</v>
      </c>
      <c r="C50">
        <v>-239.96</v>
      </c>
      <c r="D50">
        <v>852.71</v>
      </c>
      <c r="E50" t="s">
        <v>90</v>
      </c>
    </row>
    <row r="51" spans="1:5" x14ac:dyDescent="0.25">
      <c r="A51" s="31">
        <v>42776</v>
      </c>
      <c r="B51" t="s">
        <v>167</v>
      </c>
      <c r="C51">
        <v>-1.61</v>
      </c>
      <c r="D51">
        <v>1092.67</v>
      </c>
      <c r="E51" t="s">
        <v>98</v>
      </c>
    </row>
    <row r="52" spans="1:5" x14ac:dyDescent="0.25">
      <c r="A52" s="31">
        <v>42776</v>
      </c>
      <c r="B52" t="s">
        <v>168</v>
      </c>
      <c r="C52">
        <v>-1.62</v>
      </c>
      <c r="D52">
        <v>1094.28</v>
      </c>
      <c r="E52" t="s">
        <v>82</v>
      </c>
    </row>
    <row r="53" spans="1:5" x14ac:dyDescent="0.25">
      <c r="A53" s="31">
        <v>42776</v>
      </c>
      <c r="B53" t="s">
        <v>169</v>
      </c>
      <c r="C53">
        <v>-2.69</v>
      </c>
      <c r="D53">
        <v>1095.9000000000001</v>
      </c>
      <c r="E53" t="s">
        <v>82</v>
      </c>
    </row>
    <row r="54" spans="1:5" x14ac:dyDescent="0.25">
      <c r="A54" s="31">
        <v>42776</v>
      </c>
      <c r="B54" t="s">
        <v>170</v>
      </c>
      <c r="C54">
        <v>60</v>
      </c>
      <c r="D54">
        <v>1098.5899999999999</v>
      </c>
      <c r="E54" t="s">
        <v>90</v>
      </c>
    </row>
    <row r="55" spans="1:5" x14ac:dyDescent="0.25">
      <c r="A55" s="31">
        <v>42776</v>
      </c>
      <c r="B55" t="s">
        <v>171</v>
      </c>
      <c r="C55">
        <v>90</v>
      </c>
      <c r="D55">
        <v>1038.5899999999999</v>
      </c>
      <c r="E55" t="s">
        <v>90</v>
      </c>
    </row>
    <row r="56" spans="1:5" x14ac:dyDescent="0.25">
      <c r="A56" s="31">
        <v>42779</v>
      </c>
      <c r="B56" t="s">
        <v>112</v>
      </c>
      <c r="C56">
        <v>-61</v>
      </c>
      <c r="D56">
        <v>508.03</v>
      </c>
      <c r="E56" t="s">
        <v>90</v>
      </c>
    </row>
    <row r="57" spans="1:5" x14ac:dyDescent="0.25">
      <c r="A57" s="31">
        <v>42779</v>
      </c>
      <c r="B57" t="s">
        <v>172</v>
      </c>
      <c r="C57">
        <v>-100</v>
      </c>
      <c r="D57">
        <v>569.03</v>
      </c>
      <c r="E57" t="s">
        <v>90</v>
      </c>
    </row>
    <row r="58" spans="1:5" x14ac:dyDescent="0.25">
      <c r="A58" s="31">
        <v>42779</v>
      </c>
      <c r="B58" t="s">
        <v>173</v>
      </c>
      <c r="C58">
        <v>-14.07</v>
      </c>
      <c r="D58">
        <v>669.03</v>
      </c>
      <c r="E58" t="s">
        <v>116</v>
      </c>
    </row>
    <row r="59" spans="1:5" x14ac:dyDescent="0.25">
      <c r="A59" s="31">
        <v>42779</v>
      </c>
      <c r="B59" t="s">
        <v>174</v>
      </c>
      <c r="C59">
        <v>-3.34</v>
      </c>
      <c r="D59">
        <v>683.1</v>
      </c>
      <c r="E59" t="s">
        <v>81</v>
      </c>
    </row>
    <row r="60" spans="1:5" x14ac:dyDescent="0.25">
      <c r="A60" s="31">
        <v>42779</v>
      </c>
      <c r="B60" t="s">
        <v>175</v>
      </c>
      <c r="C60">
        <v>-4.3</v>
      </c>
      <c r="D60">
        <v>686.44</v>
      </c>
      <c r="E60" t="s">
        <v>100</v>
      </c>
    </row>
    <row r="61" spans="1:5" x14ac:dyDescent="0.25">
      <c r="A61" s="31">
        <v>42779</v>
      </c>
      <c r="B61" t="s">
        <v>176</v>
      </c>
      <c r="C61">
        <v>-20</v>
      </c>
      <c r="D61">
        <v>690.74</v>
      </c>
      <c r="E61" t="s">
        <v>116</v>
      </c>
    </row>
    <row r="62" spans="1:5" x14ac:dyDescent="0.25">
      <c r="A62" s="31">
        <v>42779</v>
      </c>
      <c r="B62" t="s">
        <v>177</v>
      </c>
      <c r="C62">
        <v>-10</v>
      </c>
      <c r="D62">
        <v>710.74</v>
      </c>
      <c r="E62" t="s">
        <v>103</v>
      </c>
    </row>
    <row r="63" spans="1:5" x14ac:dyDescent="0.25">
      <c r="A63" s="31">
        <v>42779</v>
      </c>
      <c r="B63" t="s">
        <v>178</v>
      </c>
      <c r="C63">
        <v>-27.01</v>
      </c>
      <c r="D63">
        <v>720.74</v>
      </c>
      <c r="E63" t="s">
        <v>116</v>
      </c>
    </row>
    <row r="64" spans="1:5" x14ac:dyDescent="0.25">
      <c r="A64" s="31">
        <v>42779</v>
      </c>
      <c r="B64" t="s">
        <v>179</v>
      </c>
      <c r="C64">
        <v>-20.84</v>
      </c>
      <c r="D64">
        <v>747.75</v>
      </c>
      <c r="E64" t="s">
        <v>116</v>
      </c>
    </row>
    <row r="65" spans="1:5" x14ac:dyDescent="0.25">
      <c r="A65" s="31">
        <v>42779</v>
      </c>
      <c r="B65" t="s">
        <v>180</v>
      </c>
      <c r="C65">
        <v>-3.33</v>
      </c>
      <c r="D65">
        <v>768.59</v>
      </c>
      <c r="E65" t="s">
        <v>100</v>
      </c>
    </row>
    <row r="66" spans="1:5" x14ac:dyDescent="0.25">
      <c r="A66" s="31">
        <v>42779</v>
      </c>
      <c r="B66" t="s">
        <v>181</v>
      </c>
      <c r="C66">
        <v>-20.420000000000002</v>
      </c>
      <c r="D66">
        <v>771.92</v>
      </c>
      <c r="E66" t="s">
        <v>116</v>
      </c>
    </row>
    <row r="67" spans="1:5" x14ac:dyDescent="0.25">
      <c r="A67" s="31">
        <v>42779</v>
      </c>
      <c r="B67" t="s">
        <v>182</v>
      </c>
      <c r="C67">
        <v>-40.840000000000003</v>
      </c>
      <c r="D67">
        <v>792.34</v>
      </c>
      <c r="E67" t="s">
        <v>116</v>
      </c>
    </row>
    <row r="68" spans="1:5" x14ac:dyDescent="0.25">
      <c r="A68" s="31">
        <v>42779</v>
      </c>
      <c r="B68" t="s">
        <v>183</v>
      </c>
      <c r="C68">
        <v>-119.98</v>
      </c>
      <c r="D68">
        <v>833.18</v>
      </c>
      <c r="E68" t="s">
        <v>90</v>
      </c>
    </row>
    <row r="69" spans="1:5" x14ac:dyDescent="0.25">
      <c r="A69" s="31">
        <v>42779</v>
      </c>
      <c r="B69" t="s">
        <v>184</v>
      </c>
      <c r="C69">
        <v>-8.6300000000000008</v>
      </c>
      <c r="D69">
        <v>953.16</v>
      </c>
      <c r="E69" t="s">
        <v>88</v>
      </c>
    </row>
    <row r="70" spans="1:5" x14ac:dyDescent="0.25">
      <c r="A70" s="31">
        <v>42779</v>
      </c>
      <c r="B70" t="s">
        <v>185</v>
      </c>
      <c r="C70">
        <v>-15</v>
      </c>
      <c r="D70">
        <v>961.79</v>
      </c>
      <c r="E70" t="s">
        <v>99</v>
      </c>
    </row>
    <row r="71" spans="1:5" x14ac:dyDescent="0.25">
      <c r="A71" s="31">
        <v>42779</v>
      </c>
      <c r="B71" t="s">
        <v>186</v>
      </c>
      <c r="C71">
        <v>-10</v>
      </c>
      <c r="D71">
        <v>976.79</v>
      </c>
      <c r="E71" t="s">
        <v>84</v>
      </c>
    </row>
    <row r="72" spans="1:5" x14ac:dyDescent="0.25">
      <c r="A72" s="31">
        <v>42779</v>
      </c>
      <c r="B72" t="s">
        <v>187</v>
      </c>
      <c r="C72">
        <v>-1</v>
      </c>
      <c r="D72">
        <v>986.79</v>
      </c>
      <c r="E72" t="s">
        <v>84</v>
      </c>
    </row>
    <row r="73" spans="1:5" x14ac:dyDescent="0.25">
      <c r="A73" s="31">
        <v>42779</v>
      </c>
      <c r="B73" t="s">
        <v>188</v>
      </c>
      <c r="C73">
        <v>-153.31</v>
      </c>
      <c r="D73">
        <v>987.79</v>
      </c>
      <c r="E73" t="s">
        <v>80</v>
      </c>
    </row>
    <row r="74" spans="1:5" x14ac:dyDescent="0.25">
      <c r="A74" s="31">
        <v>42779</v>
      </c>
      <c r="B74" t="s">
        <v>189</v>
      </c>
      <c r="C74">
        <v>-1</v>
      </c>
      <c r="D74">
        <v>1141.0999999999999</v>
      </c>
      <c r="E74" t="s">
        <v>84</v>
      </c>
    </row>
    <row r="75" spans="1:5" x14ac:dyDescent="0.25">
      <c r="A75" s="31">
        <v>42779</v>
      </c>
      <c r="B75" t="s">
        <v>190</v>
      </c>
      <c r="C75">
        <v>-1.83</v>
      </c>
      <c r="D75">
        <v>1142.0999999999999</v>
      </c>
      <c r="E75" t="s">
        <v>82</v>
      </c>
    </row>
    <row r="76" spans="1:5" x14ac:dyDescent="0.25">
      <c r="A76" s="31">
        <v>42779</v>
      </c>
      <c r="B76" t="s">
        <v>191</v>
      </c>
      <c r="C76">
        <v>-3.78</v>
      </c>
      <c r="D76">
        <v>1143.93</v>
      </c>
      <c r="E76" t="s">
        <v>84</v>
      </c>
    </row>
    <row r="77" spans="1:5" x14ac:dyDescent="0.25">
      <c r="A77" s="31">
        <v>42779</v>
      </c>
      <c r="B77" t="s">
        <v>192</v>
      </c>
      <c r="C77">
        <v>60</v>
      </c>
      <c r="D77">
        <v>1147.71</v>
      </c>
      <c r="E77" t="s">
        <v>90</v>
      </c>
    </row>
    <row r="78" spans="1:5" x14ac:dyDescent="0.25">
      <c r="A78" s="31">
        <v>42779</v>
      </c>
      <c r="B78" t="s">
        <v>193</v>
      </c>
      <c r="C78">
        <v>80</v>
      </c>
      <c r="D78">
        <v>1087.71</v>
      </c>
      <c r="E78" t="s">
        <v>90</v>
      </c>
    </row>
    <row r="79" spans="1:5" x14ac:dyDescent="0.25">
      <c r="A79" s="31">
        <v>42779</v>
      </c>
      <c r="B79" t="s">
        <v>194</v>
      </c>
      <c r="C79">
        <v>120</v>
      </c>
      <c r="D79">
        <v>1007.71</v>
      </c>
      <c r="E79" t="s">
        <v>90</v>
      </c>
    </row>
    <row r="80" spans="1:5" x14ac:dyDescent="0.25">
      <c r="A80" s="31">
        <v>42779</v>
      </c>
      <c r="B80" t="s">
        <v>195</v>
      </c>
      <c r="C80">
        <v>200</v>
      </c>
      <c r="D80">
        <v>887.71</v>
      </c>
      <c r="E80" t="s">
        <v>90</v>
      </c>
    </row>
    <row r="81" spans="1:7" x14ac:dyDescent="0.25">
      <c r="A81" s="31">
        <v>42780</v>
      </c>
      <c r="B81" t="s">
        <v>196</v>
      </c>
      <c r="C81">
        <v>-3.83</v>
      </c>
      <c r="D81">
        <v>535.22</v>
      </c>
      <c r="E81" t="s">
        <v>97</v>
      </c>
    </row>
    <row r="82" spans="1:7" x14ac:dyDescent="0.25">
      <c r="A82" s="31">
        <v>42780</v>
      </c>
      <c r="B82" t="s">
        <v>197</v>
      </c>
      <c r="C82">
        <v>-10.78</v>
      </c>
      <c r="D82">
        <v>539.04999999999995</v>
      </c>
      <c r="E82" t="s">
        <v>99</v>
      </c>
    </row>
    <row r="83" spans="1:7" x14ac:dyDescent="0.25">
      <c r="A83" s="31">
        <v>42780</v>
      </c>
      <c r="B83" t="s">
        <v>198</v>
      </c>
      <c r="C83">
        <v>-3.11</v>
      </c>
      <c r="D83">
        <v>549.83000000000004</v>
      </c>
      <c r="E83" t="s">
        <v>84</v>
      </c>
    </row>
    <row r="84" spans="1:7" x14ac:dyDescent="0.25">
      <c r="A84" s="31">
        <v>42780</v>
      </c>
      <c r="B84" t="s">
        <v>199</v>
      </c>
      <c r="C84">
        <v>-1.61</v>
      </c>
      <c r="D84">
        <v>552.94000000000005</v>
      </c>
      <c r="E84" t="s">
        <v>84</v>
      </c>
    </row>
    <row r="85" spans="1:7" x14ac:dyDescent="0.25">
      <c r="A85" s="31">
        <v>42780</v>
      </c>
      <c r="B85" t="s">
        <v>200</v>
      </c>
      <c r="C85">
        <v>-2.48</v>
      </c>
      <c r="D85">
        <v>554.54999999999995</v>
      </c>
      <c r="E85" t="s">
        <v>82</v>
      </c>
    </row>
    <row r="86" spans="1:7" x14ac:dyDescent="0.25">
      <c r="A86" s="31">
        <v>42780</v>
      </c>
      <c r="B86" t="s">
        <v>201</v>
      </c>
      <c r="C86">
        <v>-1</v>
      </c>
      <c r="D86">
        <v>557.03</v>
      </c>
      <c r="E86" t="s">
        <v>84</v>
      </c>
    </row>
    <row r="87" spans="1:7" x14ac:dyDescent="0.25">
      <c r="A87" s="31">
        <v>42780</v>
      </c>
      <c r="B87" t="s">
        <v>202</v>
      </c>
      <c r="C87">
        <v>50</v>
      </c>
      <c r="D87">
        <v>558.03</v>
      </c>
      <c r="E87" t="s">
        <v>90</v>
      </c>
    </row>
    <row r="88" spans="1:7" x14ac:dyDescent="0.25">
      <c r="A88" s="31">
        <v>42781</v>
      </c>
      <c r="B88" t="s">
        <v>203</v>
      </c>
      <c r="C88">
        <v>-100</v>
      </c>
      <c r="D88">
        <v>511.08</v>
      </c>
      <c r="E88" t="s">
        <v>62</v>
      </c>
    </row>
    <row r="89" spans="1:7" x14ac:dyDescent="0.25">
      <c r="A89" s="31">
        <v>42781</v>
      </c>
      <c r="B89" t="s">
        <v>204</v>
      </c>
      <c r="C89">
        <v>-19.989999999999998</v>
      </c>
      <c r="D89">
        <v>611.08000000000004</v>
      </c>
      <c r="E89" t="s">
        <v>85</v>
      </c>
    </row>
    <row r="90" spans="1:7" x14ac:dyDescent="0.25">
      <c r="A90" s="31">
        <v>42781</v>
      </c>
      <c r="B90" t="s">
        <v>205</v>
      </c>
      <c r="C90">
        <v>-22.51</v>
      </c>
      <c r="D90">
        <v>631.07000000000005</v>
      </c>
      <c r="E90" t="s">
        <v>103</v>
      </c>
    </row>
    <row r="91" spans="1:7" x14ac:dyDescent="0.25">
      <c r="A91" s="31">
        <v>42781</v>
      </c>
      <c r="B91" t="s">
        <v>206</v>
      </c>
      <c r="C91">
        <v>-1.62</v>
      </c>
      <c r="D91">
        <v>653.58000000000004</v>
      </c>
      <c r="E91" t="s">
        <v>82</v>
      </c>
    </row>
    <row r="92" spans="1:7" x14ac:dyDescent="0.25">
      <c r="A92" s="31">
        <v>42781</v>
      </c>
      <c r="B92" t="s">
        <v>207</v>
      </c>
      <c r="C92">
        <v>119.98</v>
      </c>
      <c r="D92">
        <v>655.20000000000005</v>
      </c>
      <c r="E92" t="s">
        <v>90</v>
      </c>
      <c r="G92" t="s">
        <v>208</v>
      </c>
    </row>
    <row r="93" spans="1:7" x14ac:dyDescent="0.25">
      <c r="A93" s="31">
        <v>42781</v>
      </c>
      <c r="B93" t="s">
        <v>120</v>
      </c>
      <c r="C93">
        <v>-4</v>
      </c>
      <c r="D93">
        <v>1</v>
      </c>
      <c r="E93" t="s">
        <v>81</v>
      </c>
    </row>
    <row r="94" spans="1:7" x14ac:dyDescent="0.25">
      <c r="A94" s="31">
        <v>42782</v>
      </c>
      <c r="B94" t="s">
        <v>209</v>
      </c>
      <c r="C94">
        <v>-2.3199999999999998</v>
      </c>
      <c r="D94">
        <v>1484.67</v>
      </c>
      <c r="E94" t="s">
        <v>97</v>
      </c>
    </row>
    <row r="95" spans="1:7" x14ac:dyDescent="0.25">
      <c r="A95" s="31">
        <v>42782</v>
      </c>
      <c r="B95" t="s">
        <v>210</v>
      </c>
      <c r="C95">
        <v>-4.7699999999999996</v>
      </c>
      <c r="D95">
        <v>1486.99</v>
      </c>
      <c r="E95" t="s">
        <v>88</v>
      </c>
    </row>
    <row r="96" spans="1:7" x14ac:dyDescent="0.25">
      <c r="A96" s="31">
        <v>42782</v>
      </c>
      <c r="B96" t="s">
        <v>211</v>
      </c>
      <c r="C96">
        <v>-8.64</v>
      </c>
      <c r="D96">
        <v>1491.76</v>
      </c>
      <c r="E96" t="s">
        <v>102</v>
      </c>
    </row>
    <row r="97" spans="1:7" x14ac:dyDescent="0.25">
      <c r="A97" s="31">
        <v>42782</v>
      </c>
      <c r="B97" t="s">
        <v>212</v>
      </c>
      <c r="C97">
        <v>-2.48</v>
      </c>
      <c r="D97">
        <v>1500.4</v>
      </c>
      <c r="E97" t="s">
        <v>82</v>
      </c>
    </row>
    <row r="98" spans="1:7" x14ac:dyDescent="0.25">
      <c r="A98" s="31">
        <v>42782</v>
      </c>
      <c r="B98" t="s">
        <v>213</v>
      </c>
      <c r="C98">
        <v>-1.07</v>
      </c>
      <c r="D98">
        <v>1502.88</v>
      </c>
      <c r="E98" t="s">
        <v>84</v>
      </c>
    </row>
    <row r="99" spans="1:7" x14ac:dyDescent="0.25">
      <c r="A99" s="31">
        <v>42782</v>
      </c>
      <c r="B99" t="s">
        <v>214</v>
      </c>
      <c r="C99">
        <v>-6</v>
      </c>
      <c r="D99">
        <v>1503.95</v>
      </c>
      <c r="E99" t="s">
        <v>84</v>
      </c>
    </row>
    <row r="100" spans="1:7" x14ac:dyDescent="0.25">
      <c r="A100" s="31">
        <v>42782</v>
      </c>
      <c r="B100" t="s">
        <v>86</v>
      </c>
      <c r="C100">
        <v>998.87</v>
      </c>
      <c r="D100">
        <v>1509.95</v>
      </c>
      <c r="E100" t="s">
        <v>87</v>
      </c>
    </row>
    <row r="101" spans="1:7" x14ac:dyDescent="0.25">
      <c r="A101" s="31">
        <v>42782</v>
      </c>
      <c r="B101" t="s">
        <v>215</v>
      </c>
      <c r="C101">
        <v>25</v>
      </c>
      <c r="D101">
        <v>26</v>
      </c>
      <c r="E101" t="s">
        <v>90</v>
      </c>
    </row>
    <row r="102" spans="1:7" x14ac:dyDescent="0.25">
      <c r="A102" s="31">
        <v>42783</v>
      </c>
      <c r="B102" t="s">
        <v>112</v>
      </c>
      <c r="C102">
        <v>-60</v>
      </c>
      <c r="D102">
        <v>1409.19</v>
      </c>
      <c r="E102" t="s">
        <v>90</v>
      </c>
      <c r="G102" t="s">
        <v>216</v>
      </c>
    </row>
    <row r="103" spans="1:7" x14ac:dyDescent="0.25">
      <c r="A103" s="31">
        <v>42783</v>
      </c>
      <c r="B103" t="s">
        <v>217</v>
      </c>
      <c r="C103">
        <v>-93.94</v>
      </c>
      <c r="D103">
        <v>1469.19</v>
      </c>
      <c r="E103" t="s">
        <v>117</v>
      </c>
    </row>
    <row r="104" spans="1:7" x14ac:dyDescent="0.25">
      <c r="A104" s="31">
        <v>42783</v>
      </c>
      <c r="B104" t="s">
        <v>218</v>
      </c>
      <c r="C104">
        <v>-0.54</v>
      </c>
      <c r="D104">
        <v>1563.13</v>
      </c>
      <c r="E104" t="s">
        <v>82</v>
      </c>
    </row>
    <row r="105" spans="1:7" x14ac:dyDescent="0.25">
      <c r="A105" s="31">
        <v>42783</v>
      </c>
      <c r="B105" t="s">
        <v>219</v>
      </c>
      <c r="C105">
        <v>-11</v>
      </c>
      <c r="D105">
        <v>1563.67</v>
      </c>
      <c r="E105" t="s">
        <v>84</v>
      </c>
    </row>
    <row r="106" spans="1:7" x14ac:dyDescent="0.25">
      <c r="A106" s="31">
        <v>42783</v>
      </c>
      <c r="B106" t="s">
        <v>220</v>
      </c>
      <c r="C106">
        <v>20</v>
      </c>
      <c r="D106">
        <v>1574.67</v>
      </c>
      <c r="E106" t="s">
        <v>85</v>
      </c>
    </row>
    <row r="107" spans="1:7" x14ac:dyDescent="0.25">
      <c r="A107" s="31">
        <v>42783</v>
      </c>
      <c r="B107" t="s">
        <v>221</v>
      </c>
      <c r="C107">
        <v>70</v>
      </c>
      <c r="D107">
        <v>1554.67</v>
      </c>
      <c r="E107" t="s">
        <v>90</v>
      </c>
    </row>
    <row r="108" spans="1:7" x14ac:dyDescent="0.25">
      <c r="A108" s="31">
        <v>42783</v>
      </c>
      <c r="B108" t="s">
        <v>118</v>
      </c>
      <c r="C108">
        <v>-5</v>
      </c>
      <c r="D108">
        <v>21</v>
      </c>
      <c r="E108" t="s">
        <v>104</v>
      </c>
    </row>
    <row r="109" spans="1:7" x14ac:dyDescent="0.25">
      <c r="A109" s="31">
        <v>42784</v>
      </c>
      <c r="B109" t="s">
        <v>222</v>
      </c>
      <c r="C109">
        <v>-10</v>
      </c>
      <c r="D109">
        <v>11</v>
      </c>
      <c r="E109" t="s">
        <v>99</v>
      </c>
    </row>
    <row r="110" spans="1:7" x14ac:dyDescent="0.25">
      <c r="A110" s="31">
        <v>42787</v>
      </c>
      <c r="B110" t="s">
        <v>112</v>
      </c>
      <c r="C110">
        <v>-69</v>
      </c>
      <c r="D110">
        <v>1235.1600000000001</v>
      </c>
      <c r="E110" t="s">
        <v>90</v>
      </c>
    </row>
    <row r="111" spans="1:7" x14ac:dyDescent="0.25">
      <c r="A111" s="31">
        <v>42787</v>
      </c>
      <c r="B111" t="s">
        <v>112</v>
      </c>
      <c r="C111">
        <v>-77.5</v>
      </c>
      <c r="D111">
        <v>1304.1600000000001</v>
      </c>
      <c r="E111" t="s">
        <v>90</v>
      </c>
    </row>
    <row r="112" spans="1:7" x14ac:dyDescent="0.25">
      <c r="A112" s="31">
        <v>42787</v>
      </c>
      <c r="B112" t="s">
        <v>223</v>
      </c>
      <c r="C112">
        <v>-14.07</v>
      </c>
      <c r="D112">
        <v>1381.66</v>
      </c>
      <c r="E112" t="s">
        <v>116</v>
      </c>
    </row>
    <row r="113" spans="1:7" x14ac:dyDescent="0.25">
      <c r="A113" s="31">
        <v>42787</v>
      </c>
      <c r="B113" t="s">
        <v>224</v>
      </c>
      <c r="C113">
        <v>-14.02</v>
      </c>
      <c r="D113">
        <v>1395.73</v>
      </c>
      <c r="E113" t="s">
        <v>116</v>
      </c>
    </row>
    <row r="114" spans="1:7" x14ac:dyDescent="0.25">
      <c r="A114" s="31">
        <v>42787</v>
      </c>
      <c r="B114" t="s">
        <v>225</v>
      </c>
      <c r="C114">
        <v>-14.07</v>
      </c>
      <c r="D114">
        <v>1409.75</v>
      </c>
      <c r="E114" t="s">
        <v>116</v>
      </c>
    </row>
    <row r="115" spans="1:7" x14ac:dyDescent="0.25">
      <c r="A115" s="31">
        <v>42787</v>
      </c>
      <c r="B115" t="s">
        <v>226</v>
      </c>
      <c r="C115">
        <v>-14.07</v>
      </c>
      <c r="D115">
        <v>1423.82</v>
      </c>
      <c r="E115" t="s">
        <v>116</v>
      </c>
    </row>
    <row r="116" spans="1:7" x14ac:dyDescent="0.25">
      <c r="A116" s="31">
        <v>42787</v>
      </c>
      <c r="B116" t="s">
        <v>227</v>
      </c>
      <c r="C116">
        <v>-7.77</v>
      </c>
      <c r="D116">
        <v>1437.89</v>
      </c>
      <c r="E116" t="s">
        <v>84</v>
      </c>
    </row>
    <row r="117" spans="1:7" x14ac:dyDescent="0.25">
      <c r="A117" s="31">
        <v>42787</v>
      </c>
      <c r="B117" t="s">
        <v>228</v>
      </c>
      <c r="C117">
        <v>-21.58</v>
      </c>
      <c r="D117">
        <v>1445.66</v>
      </c>
      <c r="E117" t="s">
        <v>116</v>
      </c>
    </row>
    <row r="118" spans="1:7" x14ac:dyDescent="0.25">
      <c r="A118" s="31">
        <v>42787</v>
      </c>
      <c r="B118" t="s">
        <v>229</v>
      </c>
      <c r="C118">
        <v>-21.58</v>
      </c>
      <c r="D118">
        <v>1467.24</v>
      </c>
      <c r="E118" t="s">
        <v>116</v>
      </c>
    </row>
    <row r="119" spans="1:7" x14ac:dyDescent="0.25">
      <c r="A119" s="31">
        <v>42787</v>
      </c>
      <c r="B119" t="s">
        <v>230</v>
      </c>
      <c r="C119">
        <v>-17.37</v>
      </c>
      <c r="D119">
        <v>1488.82</v>
      </c>
      <c r="E119" t="s">
        <v>81</v>
      </c>
    </row>
    <row r="120" spans="1:7" x14ac:dyDescent="0.25">
      <c r="A120" s="31">
        <v>42787</v>
      </c>
      <c r="B120" t="s">
        <v>231</v>
      </c>
      <c r="C120">
        <v>-7.9</v>
      </c>
      <c r="D120">
        <v>1506.19</v>
      </c>
      <c r="E120" t="s">
        <v>81</v>
      </c>
    </row>
    <row r="121" spans="1:7" x14ac:dyDescent="0.25">
      <c r="A121" s="31">
        <v>42787</v>
      </c>
      <c r="B121" t="s">
        <v>232</v>
      </c>
      <c r="C121">
        <v>-11.9</v>
      </c>
      <c r="D121">
        <v>1514.09</v>
      </c>
      <c r="E121" t="s">
        <v>81</v>
      </c>
    </row>
    <row r="122" spans="1:7" x14ac:dyDescent="0.25">
      <c r="A122" s="31">
        <v>42787</v>
      </c>
      <c r="B122" t="s">
        <v>233</v>
      </c>
      <c r="C122">
        <v>-5.07</v>
      </c>
      <c r="D122">
        <v>1525.99</v>
      </c>
      <c r="E122" t="s">
        <v>84</v>
      </c>
    </row>
    <row r="123" spans="1:7" x14ac:dyDescent="0.25">
      <c r="A123" s="31">
        <v>42787</v>
      </c>
      <c r="B123" t="s">
        <v>234</v>
      </c>
      <c r="C123">
        <v>-139.56</v>
      </c>
      <c r="D123">
        <v>1531.06</v>
      </c>
      <c r="E123" t="s">
        <v>80</v>
      </c>
    </row>
    <row r="124" spans="1:7" x14ac:dyDescent="0.25">
      <c r="A124" s="31">
        <v>42787</v>
      </c>
      <c r="B124" t="s">
        <v>235</v>
      </c>
      <c r="C124">
        <v>-1.62</v>
      </c>
      <c r="D124">
        <v>1670.62</v>
      </c>
      <c r="E124" t="s">
        <v>82</v>
      </c>
    </row>
    <row r="125" spans="1:7" x14ac:dyDescent="0.25">
      <c r="A125" s="31">
        <v>42787</v>
      </c>
      <c r="B125" t="s">
        <v>236</v>
      </c>
      <c r="C125">
        <v>-16.95</v>
      </c>
      <c r="D125">
        <v>1672.24</v>
      </c>
      <c r="E125" t="s">
        <v>93</v>
      </c>
    </row>
    <row r="126" spans="1:7" x14ac:dyDescent="0.25">
      <c r="A126" s="31">
        <v>42787</v>
      </c>
      <c r="B126" t="s">
        <v>237</v>
      </c>
      <c r="C126">
        <v>125</v>
      </c>
      <c r="D126">
        <v>1689.19</v>
      </c>
      <c r="E126" t="s">
        <v>90</v>
      </c>
      <c r="G126" t="s">
        <v>238</v>
      </c>
    </row>
    <row r="127" spans="1:7" x14ac:dyDescent="0.25">
      <c r="A127" s="31">
        <v>42787</v>
      </c>
      <c r="B127" t="s">
        <v>239</v>
      </c>
      <c r="C127">
        <v>155</v>
      </c>
      <c r="D127">
        <v>1564.19</v>
      </c>
      <c r="E127" t="s">
        <v>90</v>
      </c>
    </row>
    <row r="128" spans="1:7" x14ac:dyDescent="0.25">
      <c r="A128" s="31">
        <v>42788</v>
      </c>
      <c r="B128" t="s">
        <v>240</v>
      </c>
      <c r="C128">
        <v>-20.82</v>
      </c>
      <c r="D128">
        <v>1256.79</v>
      </c>
      <c r="E128" t="s">
        <v>95</v>
      </c>
    </row>
    <row r="129" spans="1:7" x14ac:dyDescent="0.25">
      <c r="A129" s="31">
        <v>42788</v>
      </c>
      <c r="B129" t="s">
        <v>241</v>
      </c>
      <c r="C129">
        <v>-14.07</v>
      </c>
      <c r="D129">
        <v>1277.6099999999999</v>
      </c>
      <c r="E129" t="s">
        <v>116</v>
      </c>
    </row>
    <row r="130" spans="1:7" x14ac:dyDescent="0.25">
      <c r="A130" s="31">
        <v>42788</v>
      </c>
      <c r="B130" t="s">
        <v>242</v>
      </c>
      <c r="C130">
        <v>-2.48</v>
      </c>
      <c r="D130">
        <v>1291.68</v>
      </c>
      <c r="E130" t="s">
        <v>90</v>
      </c>
    </row>
    <row r="131" spans="1:7" x14ac:dyDescent="0.25">
      <c r="A131" s="31">
        <v>42788</v>
      </c>
      <c r="B131" t="s">
        <v>243</v>
      </c>
      <c r="C131">
        <v>-1</v>
      </c>
      <c r="D131">
        <v>1294.1600000000001</v>
      </c>
      <c r="E131" t="s">
        <v>84</v>
      </c>
    </row>
    <row r="132" spans="1:7" x14ac:dyDescent="0.25">
      <c r="A132" s="31">
        <v>42788</v>
      </c>
      <c r="B132" t="s">
        <v>244</v>
      </c>
      <c r="C132">
        <v>60</v>
      </c>
      <c r="D132">
        <v>1295.1600000000001</v>
      </c>
      <c r="E132" t="s">
        <v>90</v>
      </c>
    </row>
    <row r="133" spans="1:7" x14ac:dyDescent="0.25">
      <c r="A133" s="31">
        <v>42789</v>
      </c>
      <c r="B133" t="s">
        <v>245</v>
      </c>
      <c r="C133">
        <v>-1</v>
      </c>
      <c r="D133">
        <v>1247.9100000000001</v>
      </c>
      <c r="E133" t="s">
        <v>84</v>
      </c>
    </row>
    <row r="134" spans="1:7" x14ac:dyDescent="0.25">
      <c r="A134" s="31">
        <v>42789</v>
      </c>
      <c r="B134" t="s">
        <v>246</v>
      </c>
      <c r="C134">
        <v>-1.62</v>
      </c>
      <c r="D134">
        <v>1248.9100000000001</v>
      </c>
      <c r="E134" t="s">
        <v>82</v>
      </c>
    </row>
    <row r="135" spans="1:7" x14ac:dyDescent="0.25">
      <c r="A135" s="31">
        <v>42789</v>
      </c>
      <c r="B135" t="s">
        <v>247</v>
      </c>
      <c r="C135">
        <v>-3.11</v>
      </c>
      <c r="D135">
        <v>1250.53</v>
      </c>
      <c r="E135" t="s">
        <v>84</v>
      </c>
    </row>
    <row r="136" spans="1:7" x14ac:dyDescent="0.25">
      <c r="A136" s="31">
        <v>42789</v>
      </c>
      <c r="B136" t="s">
        <v>248</v>
      </c>
      <c r="C136">
        <v>-2.15</v>
      </c>
      <c r="D136">
        <v>1253.6400000000001</v>
      </c>
      <c r="E136" t="s">
        <v>84</v>
      </c>
    </row>
    <row r="137" spans="1:7" x14ac:dyDescent="0.25">
      <c r="A137" s="31">
        <v>42789</v>
      </c>
      <c r="B137" t="s">
        <v>249</v>
      </c>
      <c r="C137">
        <v>-1</v>
      </c>
      <c r="D137">
        <v>1255.79</v>
      </c>
      <c r="E137" t="s">
        <v>84</v>
      </c>
    </row>
    <row r="138" spans="1:7" x14ac:dyDescent="0.25">
      <c r="A138" s="31">
        <v>42790</v>
      </c>
      <c r="B138" t="s">
        <v>250</v>
      </c>
      <c r="C138">
        <v>-153</v>
      </c>
      <c r="D138">
        <v>1320</v>
      </c>
      <c r="E138" t="s">
        <v>91</v>
      </c>
      <c r="G138" t="s">
        <v>251</v>
      </c>
    </row>
    <row r="139" spans="1:7" x14ac:dyDescent="0.25">
      <c r="A139" s="31">
        <v>42790</v>
      </c>
      <c r="B139" t="s">
        <v>252</v>
      </c>
      <c r="C139">
        <v>-14.11</v>
      </c>
      <c r="D139">
        <v>1473</v>
      </c>
      <c r="E139" t="s">
        <v>103</v>
      </c>
    </row>
    <row r="140" spans="1:7" x14ac:dyDescent="0.25">
      <c r="A140" s="31">
        <v>42790</v>
      </c>
      <c r="B140" t="s">
        <v>253</v>
      </c>
      <c r="C140">
        <v>-11.7</v>
      </c>
      <c r="D140">
        <v>1487.11</v>
      </c>
      <c r="E140" t="s">
        <v>103</v>
      </c>
    </row>
    <row r="141" spans="1:7" x14ac:dyDescent="0.25">
      <c r="A141" s="31">
        <v>42790</v>
      </c>
      <c r="B141" t="s">
        <v>254</v>
      </c>
      <c r="C141">
        <v>-1.61</v>
      </c>
      <c r="D141">
        <v>1498.81</v>
      </c>
      <c r="E141" t="s">
        <v>82</v>
      </c>
    </row>
    <row r="142" spans="1:7" x14ac:dyDescent="0.25">
      <c r="A142" s="31">
        <v>42790</v>
      </c>
      <c r="B142" t="s">
        <v>255</v>
      </c>
      <c r="C142">
        <v>-2.11</v>
      </c>
      <c r="D142">
        <v>1500.42</v>
      </c>
      <c r="E142" t="s">
        <v>84</v>
      </c>
    </row>
    <row r="143" spans="1:7" x14ac:dyDescent="0.25">
      <c r="A143" s="31">
        <v>42790</v>
      </c>
      <c r="B143" t="s">
        <v>256</v>
      </c>
      <c r="C143">
        <v>-5.38</v>
      </c>
      <c r="D143">
        <v>1502.53</v>
      </c>
      <c r="E143" t="s">
        <v>84</v>
      </c>
    </row>
    <row r="144" spans="1:7" x14ac:dyDescent="0.25">
      <c r="A144" s="31">
        <v>42790</v>
      </c>
      <c r="B144" t="s">
        <v>257</v>
      </c>
      <c r="C144">
        <v>260</v>
      </c>
      <c r="D144">
        <v>1507.91</v>
      </c>
      <c r="E144" t="s">
        <v>90</v>
      </c>
    </row>
    <row r="145" spans="1:7" x14ac:dyDescent="0.25">
      <c r="A145" s="31">
        <v>42793</v>
      </c>
      <c r="B145" t="s">
        <v>112</v>
      </c>
      <c r="C145">
        <v>-50</v>
      </c>
      <c r="D145">
        <v>1689.57</v>
      </c>
      <c r="E145" t="s">
        <v>90</v>
      </c>
    </row>
    <row r="146" spans="1:7" x14ac:dyDescent="0.25">
      <c r="A146" s="31">
        <v>42793</v>
      </c>
      <c r="B146" t="s">
        <v>112</v>
      </c>
      <c r="C146">
        <v>-80</v>
      </c>
      <c r="D146">
        <v>1739.57</v>
      </c>
      <c r="E146" t="s">
        <v>90</v>
      </c>
    </row>
    <row r="147" spans="1:7" x14ac:dyDescent="0.25">
      <c r="A147" s="31">
        <v>42793</v>
      </c>
      <c r="B147" t="s">
        <v>112</v>
      </c>
      <c r="C147">
        <v>-100</v>
      </c>
      <c r="D147">
        <v>1819.57</v>
      </c>
      <c r="E147" t="s">
        <v>90</v>
      </c>
    </row>
    <row r="148" spans="1:7" x14ac:dyDescent="0.25">
      <c r="A148" s="31">
        <v>42793</v>
      </c>
      <c r="B148" t="s">
        <v>112</v>
      </c>
      <c r="C148">
        <v>-100</v>
      </c>
      <c r="D148">
        <v>1919.57</v>
      </c>
      <c r="E148" t="s">
        <v>90</v>
      </c>
    </row>
    <row r="149" spans="1:7" x14ac:dyDescent="0.25">
      <c r="A149" s="31">
        <v>42793</v>
      </c>
      <c r="B149" t="s">
        <v>258</v>
      </c>
      <c r="C149">
        <v>-5.48</v>
      </c>
      <c r="D149">
        <v>2019.57</v>
      </c>
      <c r="E149" t="s">
        <v>108</v>
      </c>
      <c r="G149" t="s">
        <v>259</v>
      </c>
    </row>
    <row r="150" spans="1:7" x14ac:dyDescent="0.25">
      <c r="A150" s="31">
        <v>42793</v>
      </c>
      <c r="B150" t="s">
        <v>258</v>
      </c>
      <c r="C150">
        <v>-5</v>
      </c>
      <c r="D150">
        <v>2025.05</v>
      </c>
      <c r="E150" t="s">
        <v>84</v>
      </c>
    </row>
    <row r="151" spans="1:7" x14ac:dyDescent="0.25">
      <c r="A151" s="31">
        <v>42793</v>
      </c>
      <c r="B151" t="s">
        <v>260</v>
      </c>
      <c r="C151">
        <v>-9.7200000000000006</v>
      </c>
      <c r="D151">
        <v>2030.05</v>
      </c>
      <c r="E151" t="s">
        <v>81</v>
      </c>
    </row>
    <row r="152" spans="1:7" x14ac:dyDescent="0.25">
      <c r="A152" s="31">
        <v>42793</v>
      </c>
      <c r="B152" t="s">
        <v>261</v>
      </c>
      <c r="C152">
        <v>-35</v>
      </c>
      <c r="D152">
        <v>2039.77</v>
      </c>
      <c r="E152" t="s">
        <v>99</v>
      </c>
    </row>
    <row r="153" spans="1:7" x14ac:dyDescent="0.25">
      <c r="A153" s="31">
        <v>42793</v>
      </c>
      <c r="B153" t="s">
        <v>262</v>
      </c>
      <c r="C153">
        <v>-6.58</v>
      </c>
      <c r="D153">
        <v>2074.77</v>
      </c>
      <c r="E153" t="s">
        <v>82</v>
      </c>
    </row>
    <row r="154" spans="1:7" x14ac:dyDescent="0.25">
      <c r="A154" s="31">
        <v>42793</v>
      </c>
      <c r="B154" t="s">
        <v>263</v>
      </c>
      <c r="C154">
        <v>-23.7</v>
      </c>
      <c r="D154">
        <v>2081.35</v>
      </c>
      <c r="E154" t="s">
        <v>99</v>
      </c>
    </row>
    <row r="155" spans="1:7" x14ac:dyDescent="0.25">
      <c r="A155" s="31">
        <v>42793</v>
      </c>
      <c r="B155" t="s">
        <v>264</v>
      </c>
      <c r="C155">
        <v>-7</v>
      </c>
      <c r="D155">
        <v>2105.0500000000002</v>
      </c>
      <c r="E155" t="s">
        <v>84</v>
      </c>
    </row>
    <row r="156" spans="1:7" x14ac:dyDescent="0.25">
      <c r="A156" s="31">
        <v>42793</v>
      </c>
      <c r="B156" t="s">
        <v>265</v>
      </c>
      <c r="C156">
        <v>-3.51</v>
      </c>
      <c r="D156">
        <v>2112.0500000000002</v>
      </c>
      <c r="E156" t="s">
        <v>84</v>
      </c>
    </row>
    <row r="157" spans="1:7" x14ac:dyDescent="0.25">
      <c r="A157" s="31">
        <v>42793</v>
      </c>
      <c r="B157" t="s">
        <v>266</v>
      </c>
      <c r="C157">
        <v>16</v>
      </c>
      <c r="D157">
        <v>2115.56</v>
      </c>
      <c r="E157" t="s">
        <v>99</v>
      </c>
    </row>
    <row r="158" spans="1:7" x14ac:dyDescent="0.25">
      <c r="A158" s="31">
        <v>42793</v>
      </c>
      <c r="B158" t="s">
        <v>267</v>
      </c>
      <c r="C158">
        <v>30</v>
      </c>
      <c r="D158">
        <v>2099.56</v>
      </c>
      <c r="E158" t="s">
        <v>90</v>
      </c>
    </row>
    <row r="159" spans="1:7" x14ac:dyDescent="0.25">
      <c r="A159" s="31">
        <v>42793</v>
      </c>
      <c r="B159" t="s">
        <v>268</v>
      </c>
      <c r="C159">
        <v>139.56</v>
      </c>
      <c r="D159">
        <v>2069.56</v>
      </c>
      <c r="E159" t="s">
        <v>80</v>
      </c>
    </row>
    <row r="160" spans="1:7" x14ac:dyDescent="0.25">
      <c r="A160" s="31">
        <v>42793</v>
      </c>
      <c r="B160" t="s">
        <v>269</v>
      </c>
      <c r="C160">
        <v>150</v>
      </c>
      <c r="D160">
        <v>1930</v>
      </c>
      <c r="E160" t="s">
        <v>90</v>
      </c>
    </row>
    <row r="161" spans="1:5" x14ac:dyDescent="0.25">
      <c r="A161" s="31">
        <v>42793</v>
      </c>
      <c r="B161" t="s">
        <v>270</v>
      </c>
      <c r="C161">
        <v>460</v>
      </c>
      <c r="D161">
        <v>1780</v>
      </c>
      <c r="E161" t="s">
        <v>90</v>
      </c>
    </row>
    <row r="162" spans="1:5" x14ac:dyDescent="0.25">
      <c r="A162" s="31">
        <v>42794</v>
      </c>
      <c r="B162" t="s">
        <v>122</v>
      </c>
      <c r="C162">
        <v>-107.17</v>
      </c>
      <c r="D162">
        <v>602.73</v>
      </c>
      <c r="E162" t="s">
        <v>92</v>
      </c>
    </row>
    <row r="163" spans="1:5" x14ac:dyDescent="0.25">
      <c r="A163" s="31">
        <v>42794</v>
      </c>
      <c r="B163" t="s">
        <v>271</v>
      </c>
      <c r="C163">
        <v>-663</v>
      </c>
      <c r="D163">
        <v>709.9</v>
      </c>
      <c r="E163" t="s">
        <v>114</v>
      </c>
    </row>
    <row r="164" spans="1:5" x14ac:dyDescent="0.25">
      <c r="A164" s="31">
        <v>42794</v>
      </c>
      <c r="B164" t="s">
        <v>272</v>
      </c>
      <c r="C164">
        <v>-8.9700000000000006</v>
      </c>
      <c r="D164">
        <v>1372.9</v>
      </c>
      <c r="E164" t="s">
        <v>81</v>
      </c>
    </row>
    <row r="165" spans="1:5" x14ac:dyDescent="0.25">
      <c r="A165" s="31">
        <v>42794</v>
      </c>
      <c r="B165" t="s">
        <v>273</v>
      </c>
      <c r="C165">
        <v>-5.26</v>
      </c>
      <c r="D165">
        <v>1381.87</v>
      </c>
      <c r="E165" t="s">
        <v>84</v>
      </c>
    </row>
    <row r="166" spans="1:5" x14ac:dyDescent="0.25">
      <c r="A166" s="31">
        <v>42794</v>
      </c>
      <c r="B166" t="s">
        <v>274</v>
      </c>
      <c r="C166">
        <v>-2.48</v>
      </c>
      <c r="D166">
        <v>1387.13</v>
      </c>
      <c r="E166" t="s">
        <v>82</v>
      </c>
    </row>
    <row r="167" spans="1:5" x14ac:dyDescent="0.25">
      <c r="A167" s="31">
        <v>42794</v>
      </c>
      <c r="B167" t="s">
        <v>275</v>
      </c>
      <c r="C167">
        <v>-299.95999999999998</v>
      </c>
      <c r="D167">
        <v>1389.61</v>
      </c>
      <c r="E167" t="s">
        <v>90</v>
      </c>
    </row>
    <row r="168" spans="1:5" x14ac:dyDescent="0.25">
      <c r="A168" s="31">
        <v>42795</v>
      </c>
      <c r="B168" t="s">
        <v>276</v>
      </c>
      <c r="C168">
        <v>-10.76</v>
      </c>
      <c r="D168">
        <v>549.94000000000005</v>
      </c>
      <c r="E168" t="s">
        <v>107</v>
      </c>
    </row>
    <row r="169" spans="1:5" x14ac:dyDescent="0.25">
      <c r="A169" s="31">
        <v>42795</v>
      </c>
      <c r="B169" t="s">
        <v>277</v>
      </c>
      <c r="C169">
        <v>-37.72</v>
      </c>
      <c r="D169">
        <v>560.70000000000005</v>
      </c>
      <c r="E169" t="s">
        <v>119</v>
      </c>
    </row>
    <row r="170" spans="1:5" x14ac:dyDescent="0.25">
      <c r="A170" s="31">
        <v>42795</v>
      </c>
      <c r="B170" t="s">
        <v>278</v>
      </c>
      <c r="C170">
        <v>-1.62</v>
      </c>
      <c r="D170">
        <v>598.41999999999996</v>
      </c>
      <c r="E170" t="s">
        <v>82</v>
      </c>
    </row>
    <row r="171" spans="1:5" x14ac:dyDescent="0.25">
      <c r="A171" s="31">
        <v>42795</v>
      </c>
      <c r="B171" t="s">
        <v>279</v>
      </c>
      <c r="C171">
        <v>-2.69</v>
      </c>
      <c r="D171">
        <v>600.04</v>
      </c>
      <c r="E171" t="s">
        <v>84</v>
      </c>
    </row>
    <row r="172" spans="1:5" x14ac:dyDescent="0.25">
      <c r="A172" s="31">
        <v>42796</v>
      </c>
      <c r="B172" t="s">
        <v>339</v>
      </c>
      <c r="C172">
        <v>-7.9</v>
      </c>
      <c r="D172">
        <v>1516.43</v>
      </c>
      <c r="E172" t="s">
        <v>81</v>
      </c>
    </row>
    <row r="173" spans="1:5" x14ac:dyDescent="0.25">
      <c r="A173" s="31">
        <v>42796</v>
      </c>
      <c r="B173" t="s">
        <v>340</v>
      </c>
      <c r="C173">
        <v>-5.27</v>
      </c>
      <c r="D173">
        <v>1524.33</v>
      </c>
      <c r="E173" t="s">
        <v>107</v>
      </c>
    </row>
    <row r="174" spans="1:5" x14ac:dyDescent="0.25">
      <c r="A174" s="31">
        <v>42796</v>
      </c>
      <c r="B174" t="s">
        <v>341</v>
      </c>
      <c r="C174">
        <v>-1.61</v>
      </c>
      <c r="D174">
        <v>1529.6</v>
      </c>
      <c r="E174" t="s">
        <v>84</v>
      </c>
    </row>
    <row r="175" spans="1:5" x14ac:dyDescent="0.25">
      <c r="A175" s="31">
        <v>42796</v>
      </c>
      <c r="B175" t="s">
        <v>342</v>
      </c>
      <c r="C175">
        <v>-6.16</v>
      </c>
      <c r="D175">
        <v>1531.21</v>
      </c>
      <c r="E175" t="s">
        <v>84</v>
      </c>
    </row>
    <row r="176" spans="1:5" x14ac:dyDescent="0.25">
      <c r="A176" s="31">
        <v>42796</v>
      </c>
      <c r="B176" t="s">
        <v>343</v>
      </c>
      <c r="C176">
        <v>-2.48</v>
      </c>
      <c r="D176">
        <v>1537.37</v>
      </c>
      <c r="E176" t="s">
        <v>82</v>
      </c>
    </row>
    <row r="177" spans="1:6" x14ac:dyDescent="0.25">
      <c r="A177" s="31">
        <v>42796</v>
      </c>
      <c r="B177" t="s">
        <v>344</v>
      </c>
      <c r="C177">
        <v>-10</v>
      </c>
      <c r="D177">
        <v>1539.85</v>
      </c>
      <c r="E177" t="s">
        <v>89</v>
      </c>
    </row>
    <row r="178" spans="1:6" x14ac:dyDescent="0.25">
      <c r="A178" s="31">
        <v>42796</v>
      </c>
      <c r="B178" t="s">
        <v>345</v>
      </c>
      <c r="C178">
        <v>-2.69</v>
      </c>
      <c r="D178">
        <v>1549.85</v>
      </c>
      <c r="E178" t="s">
        <v>84</v>
      </c>
    </row>
    <row r="179" spans="1:6" x14ac:dyDescent="0.25">
      <c r="A179" s="31">
        <v>42796</v>
      </c>
      <c r="B179" t="s">
        <v>346</v>
      </c>
      <c r="C179">
        <v>-1.07</v>
      </c>
      <c r="D179">
        <v>1552.54</v>
      </c>
      <c r="E179" t="s">
        <v>84</v>
      </c>
    </row>
    <row r="180" spans="1:6" x14ac:dyDescent="0.25">
      <c r="A180" s="31">
        <v>42796</v>
      </c>
      <c r="B180" t="s">
        <v>86</v>
      </c>
      <c r="C180">
        <v>1003.67</v>
      </c>
      <c r="D180">
        <v>1553.61</v>
      </c>
      <c r="E180" t="s">
        <v>87</v>
      </c>
    </row>
    <row r="181" spans="1:6" x14ac:dyDescent="0.25">
      <c r="A181" s="31">
        <v>42796</v>
      </c>
      <c r="B181" t="s">
        <v>350</v>
      </c>
      <c r="C181">
        <v>37</v>
      </c>
      <c r="D181">
        <v>58</v>
      </c>
      <c r="E181" t="s">
        <v>119</v>
      </c>
    </row>
    <row r="182" spans="1:6" x14ac:dyDescent="0.25">
      <c r="A182" s="31">
        <v>42796</v>
      </c>
      <c r="B182" t="s">
        <v>351</v>
      </c>
      <c r="C182">
        <v>10</v>
      </c>
      <c r="D182">
        <v>21</v>
      </c>
      <c r="E182" t="s">
        <v>107</v>
      </c>
    </row>
    <row r="183" spans="1:6" x14ac:dyDescent="0.25">
      <c r="A183" s="31">
        <v>42797</v>
      </c>
      <c r="B183" t="s">
        <v>106</v>
      </c>
      <c r="C183">
        <v>-60.65</v>
      </c>
      <c r="D183">
        <v>1361.05</v>
      </c>
      <c r="E183" t="s">
        <v>105</v>
      </c>
      <c r="F183" t="s">
        <v>96</v>
      </c>
    </row>
    <row r="184" spans="1:6" x14ac:dyDescent="0.25">
      <c r="A184" s="31">
        <v>42797</v>
      </c>
      <c r="B184" t="s">
        <v>112</v>
      </c>
      <c r="C184">
        <v>-70</v>
      </c>
      <c r="D184">
        <v>1421.7</v>
      </c>
      <c r="E184" t="s">
        <v>90</v>
      </c>
    </row>
    <row r="185" spans="1:6" x14ac:dyDescent="0.25">
      <c r="A185" s="31">
        <v>42797</v>
      </c>
      <c r="B185" t="s">
        <v>335</v>
      </c>
      <c r="C185">
        <v>-16.32</v>
      </c>
      <c r="D185">
        <v>1491.7</v>
      </c>
      <c r="E185" t="s">
        <v>81</v>
      </c>
    </row>
    <row r="186" spans="1:6" x14ac:dyDescent="0.25">
      <c r="A186" s="31">
        <v>42797</v>
      </c>
      <c r="B186" t="s">
        <v>336</v>
      </c>
      <c r="C186">
        <v>-6.27</v>
      </c>
      <c r="D186">
        <v>1508.02</v>
      </c>
      <c r="E186" t="s">
        <v>84</v>
      </c>
    </row>
    <row r="187" spans="1:6" x14ac:dyDescent="0.25">
      <c r="A187" s="31">
        <v>42797</v>
      </c>
      <c r="B187" t="s">
        <v>337</v>
      </c>
      <c r="C187">
        <v>-1.07</v>
      </c>
      <c r="D187">
        <v>1514.29</v>
      </c>
      <c r="E187" t="s">
        <v>84</v>
      </c>
    </row>
    <row r="188" spans="1:6" x14ac:dyDescent="0.25">
      <c r="A188" s="31">
        <v>42797</v>
      </c>
      <c r="B188" t="s">
        <v>338</v>
      </c>
      <c r="C188">
        <v>-1.07</v>
      </c>
      <c r="D188">
        <v>1515.36</v>
      </c>
      <c r="E188" t="s">
        <v>84</v>
      </c>
    </row>
    <row r="189" spans="1:6" x14ac:dyDescent="0.25">
      <c r="A189" s="31">
        <v>42797</v>
      </c>
      <c r="B189" t="s">
        <v>349</v>
      </c>
      <c r="C189">
        <v>-5</v>
      </c>
      <c r="D189">
        <v>53</v>
      </c>
      <c r="E189" t="s">
        <v>113</v>
      </c>
    </row>
    <row r="190" spans="1:6" x14ac:dyDescent="0.25">
      <c r="A190" s="31">
        <v>42798</v>
      </c>
      <c r="B190" t="s">
        <v>348</v>
      </c>
      <c r="C190">
        <v>-13</v>
      </c>
      <c r="D190">
        <v>40</v>
      </c>
      <c r="E190" t="s">
        <v>99</v>
      </c>
    </row>
    <row r="191" spans="1:6" x14ac:dyDescent="0.25">
      <c r="A191" s="31">
        <v>42800</v>
      </c>
      <c r="B191" t="s">
        <v>94</v>
      </c>
      <c r="C191">
        <v>-5.15</v>
      </c>
      <c r="D191">
        <v>942.39</v>
      </c>
      <c r="E191" t="s">
        <v>95</v>
      </c>
      <c r="F191" t="s">
        <v>96</v>
      </c>
    </row>
    <row r="192" spans="1:6" x14ac:dyDescent="0.25">
      <c r="A192" s="31">
        <v>42800</v>
      </c>
      <c r="B192" t="s">
        <v>110</v>
      </c>
      <c r="C192">
        <v>-52.58</v>
      </c>
      <c r="D192">
        <v>947.54</v>
      </c>
      <c r="E192" t="s">
        <v>101</v>
      </c>
      <c r="F192" t="s">
        <v>96</v>
      </c>
    </row>
    <row r="193" spans="1:6" x14ac:dyDescent="0.25">
      <c r="A193" s="31">
        <v>42800</v>
      </c>
      <c r="B193" t="s">
        <v>111</v>
      </c>
      <c r="C193">
        <v>-57.99</v>
      </c>
      <c r="D193">
        <v>1000.12</v>
      </c>
      <c r="E193" t="s">
        <v>109</v>
      </c>
      <c r="F193" t="s">
        <v>96</v>
      </c>
    </row>
    <row r="194" spans="1:6" x14ac:dyDescent="0.25">
      <c r="A194" s="31">
        <v>42800</v>
      </c>
      <c r="B194" t="s">
        <v>329</v>
      </c>
      <c r="C194">
        <v>-88.34</v>
      </c>
      <c r="D194">
        <v>1058.1099999999999</v>
      </c>
      <c r="E194" t="s">
        <v>88</v>
      </c>
    </row>
    <row r="195" spans="1:6" x14ac:dyDescent="0.25">
      <c r="A195" s="31">
        <v>42800</v>
      </c>
      <c r="B195" t="s">
        <v>329</v>
      </c>
      <c r="C195">
        <v>-103.48</v>
      </c>
      <c r="D195">
        <v>1146.45</v>
      </c>
      <c r="E195" t="s">
        <v>80</v>
      </c>
    </row>
    <row r="196" spans="1:6" x14ac:dyDescent="0.25">
      <c r="A196" s="31">
        <v>42800</v>
      </c>
      <c r="B196" t="s">
        <v>330</v>
      </c>
      <c r="C196">
        <v>-16</v>
      </c>
      <c r="D196">
        <v>1249.93</v>
      </c>
      <c r="E196" t="s">
        <v>99</v>
      </c>
    </row>
    <row r="197" spans="1:6" x14ac:dyDescent="0.25">
      <c r="A197" s="31">
        <v>42800</v>
      </c>
      <c r="B197" t="s">
        <v>331</v>
      </c>
      <c r="C197">
        <v>-70</v>
      </c>
      <c r="D197">
        <v>1265.93</v>
      </c>
      <c r="E197" t="s">
        <v>99</v>
      </c>
    </row>
    <row r="198" spans="1:6" x14ac:dyDescent="0.25">
      <c r="A198" s="31">
        <v>42800</v>
      </c>
      <c r="B198" t="s">
        <v>332</v>
      </c>
      <c r="C198">
        <v>-4.05</v>
      </c>
      <c r="D198">
        <v>1335.93</v>
      </c>
      <c r="E198" t="s">
        <v>82</v>
      </c>
    </row>
    <row r="199" spans="1:6" x14ac:dyDescent="0.25">
      <c r="A199" s="31">
        <v>42800</v>
      </c>
      <c r="B199" t="s">
        <v>333</v>
      </c>
      <c r="C199">
        <v>-20</v>
      </c>
      <c r="D199">
        <v>1339.98</v>
      </c>
      <c r="E199" t="s">
        <v>99</v>
      </c>
    </row>
    <row r="200" spans="1:6" x14ac:dyDescent="0.25">
      <c r="A200" s="31">
        <v>42800</v>
      </c>
      <c r="B200" t="s">
        <v>334</v>
      </c>
      <c r="C200">
        <v>-1.07</v>
      </c>
      <c r="D200">
        <v>1359.98</v>
      </c>
      <c r="E200" t="s">
        <v>84</v>
      </c>
    </row>
    <row r="201" spans="1:6" x14ac:dyDescent="0.25">
      <c r="A201" s="31">
        <v>42801</v>
      </c>
      <c r="B201" t="s">
        <v>323</v>
      </c>
      <c r="C201">
        <v>-23.13</v>
      </c>
      <c r="D201">
        <v>1097.07</v>
      </c>
      <c r="E201" t="s">
        <v>103</v>
      </c>
    </row>
    <row r="202" spans="1:6" x14ac:dyDescent="0.25">
      <c r="A202" s="31">
        <v>42801</v>
      </c>
      <c r="B202" t="s">
        <v>324</v>
      </c>
      <c r="C202">
        <v>-15.11</v>
      </c>
      <c r="D202">
        <v>1120.2</v>
      </c>
      <c r="E202" t="s">
        <v>100</v>
      </c>
    </row>
    <row r="203" spans="1:6" x14ac:dyDescent="0.25">
      <c r="A203" s="31">
        <v>42801</v>
      </c>
      <c r="B203" t="s">
        <v>325</v>
      </c>
      <c r="C203">
        <v>-8.69</v>
      </c>
      <c r="D203">
        <v>1135.31</v>
      </c>
      <c r="E203" t="s">
        <v>84</v>
      </c>
    </row>
    <row r="204" spans="1:6" x14ac:dyDescent="0.25">
      <c r="A204" s="31">
        <v>42801</v>
      </c>
      <c r="B204" t="s">
        <v>326</v>
      </c>
      <c r="C204">
        <v>-13.39</v>
      </c>
      <c r="D204">
        <v>1144</v>
      </c>
      <c r="E204" t="s">
        <v>99</v>
      </c>
    </row>
    <row r="205" spans="1:6" x14ac:dyDescent="0.25">
      <c r="A205" s="31">
        <v>42801</v>
      </c>
      <c r="B205" t="s">
        <v>327</v>
      </c>
      <c r="C205">
        <v>45</v>
      </c>
      <c r="D205">
        <v>1157.3900000000001</v>
      </c>
      <c r="E205" t="s">
        <v>90</v>
      </c>
    </row>
    <row r="206" spans="1:6" x14ac:dyDescent="0.25">
      <c r="A206" s="31">
        <v>42801</v>
      </c>
      <c r="B206" t="s">
        <v>328</v>
      </c>
      <c r="C206">
        <v>170</v>
      </c>
      <c r="D206">
        <v>1112.3900000000001</v>
      </c>
      <c r="E206" t="s">
        <v>90</v>
      </c>
    </row>
    <row r="207" spans="1:6" x14ac:dyDescent="0.25">
      <c r="A207" s="31">
        <v>42802</v>
      </c>
      <c r="B207" t="s">
        <v>319</v>
      </c>
      <c r="C207">
        <v>-0.34</v>
      </c>
      <c r="D207">
        <v>1088.79</v>
      </c>
      <c r="E207" t="s">
        <v>97</v>
      </c>
    </row>
    <row r="208" spans="1:6" x14ac:dyDescent="0.25">
      <c r="A208" s="31">
        <v>42802</v>
      </c>
      <c r="B208" t="s">
        <v>320</v>
      </c>
      <c r="C208">
        <v>-3.83</v>
      </c>
      <c r="D208">
        <v>1089.1300000000001</v>
      </c>
      <c r="E208" t="s">
        <v>97</v>
      </c>
    </row>
    <row r="209" spans="1:7" x14ac:dyDescent="0.25">
      <c r="A209" s="31">
        <v>42802</v>
      </c>
      <c r="B209" t="s">
        <v>321</v>
      </c>
      <c r="C209">
        <v>-1.95</v>
      </c>
      <c r="D209">
        <v>1092.96</v>
      </c>
      <c r="E209" t="s">
        <v>84</v>
      </c>
    </row>
    <row r="210" spans="1:7" x14ac:dyDescent="0.25">
      <c r="A210" s="31">
        <v>42802</v>
      </c>
      <c r="B210" t="s">
        <v>322</v>
      </c>
      <c r="C210">
        <v>-2.16</v>
      </c>
      <c r="D210">
        <v>1094.9100000000001</v>
      </c>
      <c r="E210" t="s">
        <v>82</v>
      </c>
    </row>
    <row r="211" spans="1:7" x14ac:dyDescent="0.25">
      <c r="A211" s="31">
        <v>42803</v>
      </c>
      <c r="B211" t="s">
        <v>112</v>
      </c>
      <c r="C211">
        <v>-75</v>
      </c>
      <c r="D211">
        <v>838.85</v>
      </c>
      <c r="E211" t="s">
        <v>90</v>
      </c>
    </row>
    <row r="212" spans="1:7" x14ac:dyDescent="0.25">
      <c r="A212" s="31">
        <v>42803</v>
      </c>
      <c r="B212" t="s">
        <v>310</v>
      </c>
      <c r="C212">
        <v>-7.9</v>
      </c>
      <c r="D212">
        <v>913.85</v>
      </c>
      <c r="E212" t="s">
        <v>81</v>
      </c>
    </row>
    <row r="213" spans="1:7" x14ac:dyDescent="0.25">
      <c r="A213" s="31">
        <v>42803</v>
      </c>
      <c r="B213" t="s">
        <v>311</v>
      </c>
      <c r="C213">
        <v>-11.88</v>
      </c>
      <c r="D213">
        <v>921.75</v>
      </c>
      <c r="E213" t="s">
        <v>83</v>
      </c>
    </row>
    <row r="214" spans="1:7" x14ac:dyDescent="0.25">
      <c r="A214" s="31">
        <v>42803</v>
      </c>
      <c r="B214" t="s">
        <v>312</v>
      </c>
      <c r="C214">
        <v>-365.16</v>
      </c>
      <c r="D214">
        <v>933.63</v>
      </c>
      <c r="E214" t="s">
        <v>313</v>
      </c>
    </row>
    <row r="215" spans="1:7" x14ac:dyDescent="0.25">
      <c r="A215" s="31">
        <v>42803</v>
      </c>
      <c r="B215" t="s">
        <v>314</v>
      </c>
      <c r="C215">
        <v>-2.48</v>
      </c>
      <c r="D215">
        <v>1298.79</v>
      </c>
      <c r="E215" t="s">
        <v>82</v>
      </c>
    </row>
    <row r="216" spans="1:7" x14ac:dyDescent="0.25">
      <c r="A216" s="31">
        <v>42803</v>
      </c>
      <c r="B216" t="s">
        <v>315</v>
      </c>
      <c r="C216">
        <v>-1.07</v>
      </c>
      <c r="D216">
        <v>1301.27</v>
      </c>
      <c r="E216" t="s">
        <v>84</v>
      </c>
    </row>
    <row r="217" spans="1:7" x14ac:dyDescent="0.25">
      <c r="A217" s="31">
        <v>42803</v>
      </c>
      <c r="B217" t="s">
        <v>316</v>
      </c>
      <c r="C217">
        <v>-4.8600000000000003</v>
      </c>
      <c r="D217">
        <v>1302.3399999999999</v>
      </c>
      <c r="E217" t="s">
        <v>84</v>
      </c>
    </row>
    <row r="218" spans="1:7" x14ac:dyDescent="0.25">
      <c r="A218" s="31">
        <v>42803</v>
      </c>
      <c r="B218" t="s">
        <v>317</v>
      </c>
      <c r="C218">
        <v>-4.09</v>
      </c>
      <c r="D218">
        <v>1307.2</v>
      </c>
      <c r="E218" t="s">
        <v>82</v>
      </c>
    </row>
    <row r="219" spans="1:7" x14ac:dyDescent="0.25">
      <c r="A219" s="31">
        <v>42803</v>
      </c>
      <c r="B219" t="s">
        <v>318</v>
      </c>
      <c r="C219">
        <v>186.75</v>
      </c>
      <c r="D219">
        <v>1311.29</v>
      </c>
      <c r="E219" t="s">
        <v>313</v>
      </c>
    </row>
    <row r="220" spans="1:7" x14ac:dyDescent="0.25">
      <c r="A220" s="31">
        <v>42803</v>
      </c>
      <c r="B220" t="s">
        <v>318</v>
      </c>
      <c r="C220">
        <v>35.75</v>
      </c>
      <c r="D220">
        <v>1124.54</v>
      </c>
      <c r="E220" t="s">
        <v>90</v>
      </c>
    </row>
    <row r="221" spans="1:7" x14ac:dyDescent="0.25">
      <c r="A221" s="31">
        <v>42804</v>
      </c>
      <c r="B221" t="s">
        <v>303</v>
      </c>
      <c r="C221">
        <v>-1.62</v>
      </c>
      <c r="D221">
        <v>1124.06</v>
      </c>
      <c r="E221" t="s">
        <v>82</v>
      </c>
    </row>
    <row r="222" spans="1:7" x14ac:dyDescent="0.25">
      <c r="A222" s="31">
        <v>42804</v>
      </c>
      <c r="B222" t="s">
        <v>304</v>
      </c>
      <c r="C222">
        <v>-3.99</v>
      </c>
      <c r="D222">
        <v>1125.68</v>
      </c>
      <c r="E222" t="s">
        <v>84</v>
      </c>
    </row>
    <row r="223" spans="1:7" x14ac:dyDescent="0.25">
      <c r="A223" s="31">
        <v>42804</v>
      </c>
      <c r="B223" t="s">
        <v>305</v>
      </c>
      <c r="C223">
        <v>-1</v>
      </c>
      <c r="D223">
        <v>1129.67</v>
      </c>
      <c r="E223" t="s">
        <v>84</v>
      </c>
    </row>
    <row r="224" spans="1:7" x14ac:dyDescent="0.25">
      <c r="A224" s="31">
        <v>42804</v>
      </c>
      <c r="B224" t="s">
        <v>306</v>
      </c>
      <c r="C224">
        <v>100</v>
      </c>
      <c r="D224">
        <v>1130.67</v>
      </c>
      <c r="E224" t="s">
        <v>62</v>
      </c>
      <c r="G224" t="s">
        <v>307</v>
      </c>
    </row>
    <row r="225" spans="1:7" x14ac:dyDescent="0.25">
      <c r="A225" s="31">
        <v>42804</v>
      </c>
      <c r="B225" t="s">
        <v>308</v>
      </c>
      <c r="C225">
        <v>88.34</v>
      </c>
      <c r="D225">
        <v>1030.67</v>
      </c>
      <c r="E225" t="s">
        <v>88</v>
      </c>
      <c r="G225" t="s">
        <v>309</v>
      </c>
    </row>
    <row r="226" spans="1:7" x14ac:dyDescent="0.25">
      <c r="A226" s="31">
        <v>42804</v>
      </c>
      <c r="B226" t="s">
        <v>308</v>
      </c>
      <c r="C226">
        <v>103.48</v>
      </c>
      <c r="D226">
        <v>942.33</v>
      </c>
      <c r="E226" t="s">
        <v>80</v>
      </c>
      <c r="G226" t="s">
        <v>309</v>
      </c>
    </row>
    <row r="227" spans="1:7" x14ac:dyDescent="0.25">
      <c r="A227" s="31">
        <v>42805</v>
      </c>
      <c r="B227" t="s">
        <v>347</v>
      </c>
      <c r="C227">
        <v>-20</v>
      </c>
      <c r="D227">
        <v>20</v>
      </c>
      <c r="E227" t="s">
        <v>104</v>
      </c>
    </row>
    <row r="228" spans="1:7" x14ac:dyDescent="0.25">
      <c r="A228" s="31">
        <v>42807</v>
      </c>
      <c r="B228" t="s">
        <v>94</v>
      </c>
      <c r="C228">
        <v>-8.3000000000000007</v>
      </c>
      <c r="D228">
        <v>1132.3699999999999</v>
      </c>
      <c r="E228" t="s">
        <v>95</v>
      </c>
      <c r="F228" t="s">
        <v>96</v>
      </c>
    </row>
    <row r="229" spans="1:7" x14ac:dyDescent="0.25">
      <c r="A229" s="31">
        <v>42807</v>
      </c>
      <c r="B229" t="s">
        <v>288</v>
      </c>
      <c r="C229">
        <v>-20.420000000000002</v>
      </c>
      <c r="D229">
        <v>1140.67</v>
      </c>
      <c r="E229" t="s">
        <v>116</v>
      </c>
    </row>
    <row r="230" spans="1:7" x14ac:dyDescent="0.25">
      <c r="A230" s="31">
        <v>42807</v>
      </c>
      <c r="B230" t="s">
        <v>289</v>
      </c>
      <c r="C230">
        <v>-8.84</v>
      </c>
      <c r="D230">
        <v>1161.0899999999999</v>
      </c>
      <c r="E230" t="s">
        <v>82</v>
      </c>
    </row>
    <row r="231" spans="1:7" x14ac:dyDescent="0.25">
      <c r="A231" s="31">
        <v>42807</v>
      </c>
      <c r="B231" t="s">
        <v>290</v>
      </c>
      <c r="C231">
        <v>-1.69</v>
      </c>
      <c r="D231">
        <v>1169.93</v>
      </c>
      <c r="E231" t="s">
        <v>97</v>
      </c>
    </row>
    <row r="232" spans="1:7" x14ac:dyDescent="0.25">
      <c r="A232" s="31">
        <v>42807</v>
      </c>
      <c r="B232" t="s">
        <v>291</v>
      </c>
      <c r="C232">
        <v>-7.9</v>
      </c>
      <c r="D232">
        <v>1171.6199999999999</v>
      </c>
      <c r="E232" t="s">
        <v>81</v>
      </c>
    </row>
    <row r="233" spans="1:7" x14ac:dyDescent="0.25">
      <c r="A233" s="31">
        <v>42807</v>
      </c>
      <c r="B233" t="s">
        <v>292</v>
      </c>
      <c r="C233">
        <v>-21.7</v>
      </c>
      <c r="D233">
        <v>1179.52</v>
      </c>
      <c r="E233" t="s">
        <v>82</v>
      </c>
    </row>
    <row r="234" spans="1:7" x14ac:dyDescent="0.25">
      <c r="A234" s="31">
        <v>42807</v>
      </c>
      <c r="B234" t="s">
        <v>293</v>
      </c>
      <c r="C234">
        <v>-17</v>
      </c>
      <c r="D234">
        <v>1201.22</v>
      </c>
      <c r="E234" t="s">
        <v>99</v>
      </c>
    </row>
    <row r="235" spans="1:7" x14ac:dyDescent="0.25">
      <c r="A235" s="31">
        <v>42807</v>
      </c>
      <c r="B235" t="s">
        <v>294</v>
      </c>
      <c r="C235">
        <v>-26.5</v>
      </c>
      <c r="D235">
        <v>1218.22</v>
      </c>
      <c r="E235" t="s">
        <v>99</v>
      </c>
    </row>
    <row r="236" spans="1:7" x14ac:dyDescent="0.25">
      <c r="A236" s="31">
        <v>42807</v>
      </c>
      <c r="B236" t="s">
        <v>295</v>
      </c>
      <c r="C236">
        <v>-1.61</v>
      </c>
      <c r="D236">
        <v>1244.72</v>
      </c>
      <c r="E236" t="s">
        <v>84</v>
      </c>
    </row>
    <row r="237" spans="1:7" x14ac:dyDescent="0.25">
      <c r="A237" s="31">
        <v>42807</v>
      </c>
      <c r="B237" t="s">
        <v>296</v>
      </c>
      <c r="C237">
        <v>-3.22</v>
      </c>
      <c r="D237">
        <v>1246.33</v>
      </c>
      <c r="E237" t="s">
        <v>84</v>
      </c>
    </row>
    <row r="238" spans="1:7" x14ac:dyDescent="0.25">
      <c r="A238" s="31">
        <v>42807</v>
      </c>
      <c r="B238" t="s">
        <v>297</v>
      </c>
      <c r="C238">
        <v>-20</v>
      </c>
      <c r="D238">
        <v>1249.55</v>
      </c>
      <c r="E238" t="s">
        <v>100</v>
      </c>
    </row>
    <row r="239" spans="1:7" x14ac:dyDescent="0.25">
      <c r="A239" s="31">
        <v>42807</v>
      </c>
      <c r="B239" t="s">
        <v>298</v>
      </c>
      <c r="C239">
        <v>-1.61</v>
      </c>
      <c r="D239">
        <v>1269.55</v>
      </c>
      <c r="E239" t="s">
        <v>84</v>
      </c>
    </row>
    <row r="240" spans="1:7" x14ac:dyDescent="0.25">
      <c r="A240" s="31">
        <v>42807</v>
      </c>
      <c r="B240" t="s">
        <v>299</v>
      </c>
      <c r="C240">
        <v>-1.83</v>
      </c>
      <c r="D240">
        <v>1271.1600000000001</v>
      </c>
      <c r="E240" t="s">
        <v>84</v>
      </c>
    </row>
    <row r="241" spans="1:6" x14ac:dyDescent="0.25">
      <c r="A241" s="31">
        <v>42807</v>
      </c>
      <c r="B241" t="s">
        <v>300</v>
      </c>
      <c r="C241">
        <v>-1.07</v>
      </c>
      <c r="D241">
        <v>1272.99</v>
      </c>
      <c r="E241" t="s">
        <v>84</v>
      </c>
    </row>
    <row r="242" spans="1:6" x14ac:dyDescent="0.25">
      <c r="A242" s="31">
        <v>42807</v>
      </c>
      <c r="B242" t="s">
        <v>301</v>
      </c>
      <c r="C242">
        <v>60</v>
      </c>
      <c r="D242">
        <v>1274.06</v>
      </c>
      <c r="E242" t="s">
        <v>90</v>
      </c>
    </row>
    <row r="243" spans="1:6" x14ac:dyDescent="0.25">
      <c r="A243" s="31">
        <v>42807</v>
      </c>
      <c r="B243" t="s">
        <v>302</v>
      </c>
      <c r="C243">
        <v>90</v>
      </c>
      <c r="D243">
        <v>1214.06</v>
      </c>
      <c r="E243" t="s">
        <v>90</v>
      </c>
    </row>
    <row r="244" spans="1:6" x14ac:dyDescent="0.25">
      <c r="A244" s="31">
        <v>42808</v>
      </c>
      <c r="B244" t="s">
        <v>94</v>
      </c>
      <c r="C244">
        <v>-13.83</v>
      </c>
      <c r="D244">
        <v>1159.81</v>
      </c>
      <c r="E244" t="s">
        <v>95</v>
      </c>
      <c r="F244" t="s">
        <v>96</v>
      </c>
    </row>
    <row r="245" spans="1:6" x14ac:dyDescent="0.25">
      <c r="A245" s="31">
        <v>42808</v>
      </c>
      <c r="B245" t="s">
        <v>286</v>
      </c>
      <c r="C245">
        <v>-8.73</v>
      </c>
      <c r="D245">
        <v>1173.6400000000001</v>
      </c>
      <c r="E245" t="s">
        <v>99</v>
      </c>
    </row>
    <row r="246" spans="1:6" x14ac:dyDescent="0.25">
      <c r="A246" s="31">
        <v>42808</v>
      </c>
      <c r="B246" t="s">
        <v>287</v>
      </c>
      <c r="C246">
        <v>50</v>
      </c>
      <c r="D246">
        <v>1182.3699999999999</v>
      </c>
      <c r="E246" t="s">
        <v>90</v>
      </c>
    </row>
    <row r="247" spans="1:6" x14ac:dyDescent="0.25">
      <c r="A247" s="31">
        <v>42809</v>
      </c>
      <c r="B247" t="s">
        <v>112</v>
      </c>
      <c r="C247">
        <v>-130</v>
      </c>
      <c r="D247">
        <v>1017.99</v>
      </c>
      <c r="E247" t="s">
        <v>90</v>
      </c>
      <c r="F247" t="s">
        <v>96</v>
      </c>
    </row>
    <row r="248" spans="1:6" x14ac:dyDescent="0.25">
      <c r="A248" s="31">
        <v>42809</v>
      </c>
      <c r="B248" t="s">
        <v>282</v>
      </c>
      <c r="C248">
        <v>-5.31</v>
      </c>
      <c r="D248">
        <v>1147.99</v>
      </c>
      <c r="E248" t="s">
        <v>84</v>
      </c>
    </row>
    <row r="249" spans="1:6" x14ac:dyDescent="0.25">
      <c r="A249" s="31">
        <v>42809</v>
      </c>
      <c r="B249" t="s">
        <v>283</v>
      </c>
      <c r="C249">
        <v>-1.62</v>
      </c>
      <c r="D249">
        <v>1153.3</v>
      </c>
      <c r="E249" t="s">
        <v>82</v>
      </c>
    </row>
    <row r="250" spans="1:6" x14ac:dyDescent="0.25">
      <c r="A250" s="31">
        <v>42809</v>
      </c>
      <c r="B250" t="s">
        <v>284</v>
      </c>
      <c r="C250">
        <v>-3.89</v>
      </c>
      <c r="D250">
        <v>1154.92</v>
      </c>
      <c r="E250" t="s">
        <v>84</v>
      </c>
    </row>
    <row r="251" spans="1:6" x14ac:dyDescent="0.25">
      <c r="A251" s="31">
        <v>42809</v>
      </c>
      <c r="B251" t="s">
        <v>285</v>
      </c>
      <c r="C251">
        <v>-1</v>
      </c>
      <c r="D251">
        <v>1158.81</v>
      </c>
      <c r="E251" t="s">
        <v>84</v>
      </c>
    </row>
    <row r="252" spans="1:6" x14ac:dyDescent="0.25">
      <c r="A252" s="31">
        <v>42810</v>
      </c>
      <c r="B252" t="s">
        <v>424</v>
      </c>
      <c r="C252">
        <v>-20.420000000000002</v>
      </c>
      <c r="D252">
        <v>2056.75</v>
      </c>
      <c r="E252" t="s">
        <v>116</v>
      </c>
    </row>
    <row r="253" spans="1:6" x14ac:dyDescent="0.25">
      <c r="A253" s="31">
        <v>42810</v>
      </c>
      <c r="B253" t="s">
        <v>425</v>
      </c>
      <c r="C253">
        <v>-31.85</v>
      </c>
      <c r="D253">
        <v>2077.17</v>
      </c>
      <c r="E253" t="s">
        <v>97</v>
      </c>
    </row>
    <row r="254" spans="1:6" x14ac:dyDescent="0.25">
      <c r="A254" s="31">
        <v>42810</v>
      </c>
      <c r="B254" t="s">
        <v>426</v>
      </c>
      <c r="C254">
        <v>-4.6100000000000003</v>
      </c>
      <c r="D254">
        <v>2109.02</v>
      </c>
      <c r="E254" t="s">
        <v>103</v>
      </c>
    </row>
    <row r="255" spans="1:6" x14ac:dyDescent="0.25">
      <c r="A255" s="31">
        <v>42810</v>
      </c>
      <c r="B255" t="s">
        <v>427</v>
      </c>
      <c r="C255">
        <v>-1</v>
      </c>
      <c r="D255">
        <v>2113.63</v>
      </c>
      <c r="E255" t="s">
        <v>84</v>
      </c>
    </row>
    <row r="256" spans="1:6" x14ac:dyDescent="0.25">
      <c r="A256" s="31">
        <v>42810</v>
      </c>
      <c r="B256" t="s">
        <v>428</v>
      </c>
      <c r="C256">
        <v>-3.22</v>
      </c>
      <c r="D256">
        <v>2114.63</v>
      </c>
      <c r="E256" t="s">
        <v>84</v>
      </c>
    </row>
    <row r="257" spans="1:7" x14ac:dyDescent="0.25">
      <c r="A257" s="31">
        <v>42810</v>
      </c>
      <c r="B257" t="s">
        <v>429</v>
      </c>
      <c r="C257">
        <v>-1</v>
      </c>
      <c r="D257">
        <v>2117.85</v>
      </c>
      <c r="E257" t="s">
        <v>84</v>
      </c>
    </row>
    <row r="258" spans="1:7" x14ac:dyDescent="0.25">
      <c r="A258" s="31">
        <v>42810</v>
      </c>
      <c r="B258" t="s">
        <v>86</v>
      </c>
      <c r="C258">
        <v>1100.8599999999999</v>
      </c>
      <c r="D258">
        <v>2118.85</v>
      </c>
      <c r="E258" t="s">
        <v>87</v>
      </c>
    </row>
    <row r="259" spans="1:7" x14ac:dyDescent="0.25">
      <c r="A259" s="31">
        <v>42811</v>
      </c>
      <c r="B259" t="s">
        <v>420</v>
      </c>
      <c r="C259">
        <v>-32.950000000000003</v>
      </c>
      <c r="D259">
        <v>1994.56</v>
      </c>
      <c r="E259" t="s">
        <v>81</v>
      </c>
    </row>
    <row r="260" spans="1:7" x14ac:dyDescent="0.25">
      <c r="A260" s="31">
        <v>42811</v>
      </c>
      <c r="B260" t="s">
        <v>421</v>
      </c>
      <c r="C260">
        <v>-21.57</v>
      </c>
      <c r="D260">
        <v>2027.51</v>
      </c>
      <c r="E260" t="s">
        <v>103</v>
      </c>
    </row>
    <row r="261" spans="1:7" x14ac:dyDescent="0.25">
      <c r="A261" s="31">
        <v>42811</v>
      </c>
      <c r="B261" t="s">
        <v>422</v>
      </c>
      <c r="C261">
        <v>-6.59</v>
      </c>
      <c r="D261">
        <v>2049.08</v>
      </c>
      <c r="E261" t="s">
        <v>84</v>
      </c>
    </row>
    <row r="262" spans="1:7" x14ac:dyDescent="0.25">
      <c r="A262" s="31">
        <v>42811</v>
      </c>
      <c r="B262" t="s">
        <v>423</v>
      </c>
      <c r="C262">
        <v>-1.08</v>
      </c>
      <c r="D262">
        <v>2055.67</v>
      </c>
      <c r="E262" t="s">
        <v>82</v>
      </c>
    </row>
    <row r="263" spans="1:7" x14ac:dyDescent="0.25">
      <c r="A263" s="31">
        <v>42811</v>
      </c>
      <c r="B263" t="s">
        <v>118</v>
      </c>
      <c r="C263">
        <v>20</v>
      </c>
      <c r="D263">
        <v>40</v>
      </c>
      <c r="E263" t="s">
        <v>99</v>
      </c>
    </row>
    <row r="264" spans="1:7" x14ac:dyDescent="0.25">
      <c r="A264" s="31">
        <v>42813</v>
      </c>
      <c r="B264" t="s">
        <v>435</v>
      </c>
      <c r="C264">
        <v>-13</v>
      </c>
      <c r="D264">
        <v>27</v>
      </c>
      <c r="E264" t="s">
        <v>99</v>
      </c>
    </row>
    <row r="265" spans="1:7" x14ac:dyDescent="0.25">
      <c r="A265" s="31">
        <v>42814</v>
      </c>
      <c r="B265" t="s">
        <v>402</v>
      </c>
      <c r="C265">
        <v>-80</v>
      </c>
      <c r="D265">
        <v>1461.49</v>
      </c>
      <c r="E265" t="s">
        <v>91</v>
      </c>
      <c r="G265" t="s">
        <v>403</v>
      </c>
    </row>
    <row r="266" spans="1:7" x14ac:dyDescent="0.25">
      <c r="A266" s="31">
        <v>42814</v>
      </c>
      <c r="B266" t="s">
        <v>404</v>
      </c>
      <c r="C266">
        <v>-6.31</v>
      </c>
      <c r="D266">
        <v>1541.49</v>
      </c>
      <c r="E266" t="s">
        <v>388</v>
      </c>
    </row>
    <row r="267" spans="1:7" x14ac:dyDescent="0.25">
      <c r="A267" s="31">
        <v>42814</v>
      </c>
      <c r="B267" t="s">
        <v>405</v>
      </c>
      <c r="C267">
        <v>-16.170000000000002</v>
      </c>
      <c r="D267">
        <v>1547.8</v>
      </c>
      <c r="E267" t="s">
        <v>81</v>
      </c>
    </row>
    <row r="268" spans="1:7" x14ac:dyDescent="0.25">
      <c r="A268" s="31">
        <v>42814</v>
      </c>
      <c r="B268" t="s">
        <v>406</v>
      </c>
      <c r="C268">
        <v>-16</v>
      </c>
      <c r="D268">
        <v>1563.97</v>
      </c>
      <c r="E268" t="s">
        <v>388</v>
      </c>
    </row>
    <row r="269" spans="1:7" x14ac:dyDescent="0.25">
      <c r="A269" s="31">
        <v>42814</v>
      </c>
      <c r="B269" t="s">
        <v>407</v>
      </c>
      <c r="C269">
        <v>-20.420000000000002</v>
      </c>
      <c r="D269">
        <v>1579.97</v>
      </c>
      <c r="E269" t="s">
        <v>116</v>
      </c>
    </row>
    <row r="270" spans="1:7" x14ac:dyDescent="0.25">
      <c r="A270" s="31">
        <v>42814</v>
      </c>
      <c r="B270" t="s">
        <v>408</v>
      </c>
      <c r="C270">
        <v>-32.31</v>
      </c>
      <c r="D270">
        <v>1600.39</v>
      </c>
      <c r="E270" t="s">
        <v>388</v>
      </c>
    </row>
    <row r="271" spans="1:7" x14ac:dyDescent="0.25">
      <c r="A271" s="31">
        <v>42814</v>
      </c>
      <c r="B271" t="s">
        <v>409</v>
      </c>
      <c r="C271">
        <v>-200</v>
      </c>
      <c r="D271">
        <v>1632.7</v>
      </c>
      <c r="E271" t="s">
        <v>410</v>
      </c>
    </row>
    <row r="272" spans="1:7" x14ac:dyDescent="0.25">
      <c r="A272" s="31">
        <v>42814</v>
      </c>
      <c r="B272" t="s">
        <v>411</v>
      </c>
      <c r="C272">
        <v>-6.59</v>
      </c>
      <c r="D272">
        <v>1832.7</v>
      </c>
      <c r="E272" t="s">
        <v>412</v>
      </c>
    </row>
    <row r="273" spans="1:7" x14ac:dyDescent="0.25">
      <c r="A273" s="31">
        <v>42814</v>
      </c>
      <c r="B273" t="s">
        <v>413</v>
      </c>
      <c r="C273">
        <v>-3.87</v>
      </c>
      <c r="D273">
        <v>1839.29</v>
      </c>
      <c r="E273" t="s">
        <v>414</v>
      </c>
    </row>
    <row r="274" spans="1:7" x14ac:dyDescent="0.25">
      <c r="A274" s="31">
        <v>42814</v>
      </c>
      <c r="B274" t="s">
        <v>415</v>
      </c>
      <c r="C274">
        <v>-16.95</v>
      </c>
      <c r="D274">
        <v>1843.16</v>
      </c>
      <c r="E274" t="s">
        <v>93</v>
      </c>
    </row>
    <row r="275" spans="1:7" x14ac:dyDescent="0.25">
      <c r="A275" s="31">
        <v>42814</v>
      </c>
      <c r="B275" t="s">
        <v>416</v>
      </c>
      <c r="C275">
        <v>-1</v>
      </c>
      <c r="D275">
        <v>1860.11</v>
      </c>
      <c r="E275" t="s">
        <v>84</v>
      </c>
    </row>
    <row r="276" spans="1:7" x14ac:dyDescent="0.25">
      <c r="A276" s="31">
        <v>42814</v>
      </c>
      <c r="B276" t="s">
        <v>417</v>
      </c>
      <c r="C276">
        <v>-78.099999999999994</v>
      </c>
      <c r="D276">
        <v>1861.11</v>
      </c>
      <c r="E276" t="s">
        <v>280</v>
      </c>
    </row>
    <row r="277" spans="1:7" x14ac:dyDescent="0.25">
      <c r="A277" s="31">
        <v>42814</v>
      </c>
      <c r="B277" t="s">
        <v>418</v>
      </c>
      <c r="C277">
        <v>-52.87</v>
      </c>
      <c r="D277">
        <v>1939.21</v>
      </c>
      <c r="E277" t="s">
        <v>115</v>
      </c>
      <c r="G277" t="s">
        <v>281</v>
      </c>
    </row>
    <row r="278" spans="1:7" x14ac:dyDescent="0.25">
      <c r="A278" s="31">
        <v>42814</v>
      </c>
      <c r="B278" t="s">
        <v>419</v>
      </c>
      <c r="C278">
        <v>-2.48</v>
      </c>
      <c r="D278">
        <v>1992.08</v>
      </c>
      <c r="E278" t="s">
        <v>82</v>
      </c>
    </row>
    <row r="279" spans="1:7" x14ac:dyDescent="0.25">
      <c r="A279" s="31">
        <v>42814</v>
      </c>
      <c r="B279" t="s">
        <v>433</v>
      </c>
      <c r="C279">
        <v>140</v>
      </c>
      <c r="D279">
        <v>167</v>
      </c>
      <c r="E279" t="s">
        <v>434</v>
      </c>
    </row>
    <row r="280" spans="1:7" x14ac:dyDescent="0.25">
      <c r="A280" s="31">
        <v>42815</v>
      </c>
      <c r="B280" t="s">
        <v>398</v>
      </c>
      <c r="C280">
        <v>-84.63</v>
      </c>
      <c r="D280">
        <v>1334.31</v>
      </c>
      <c r="E280" t="s">
        <v>399</v>
      </c>
    </row>
    <row r="281" spans="1:7" x14ac:dyDescent="0.25">
      <c r="A281" s="31">
        <v>42815</v>
      </c>
      <c r="B281" t="s">
        <v>400</v>
      </c>
      <c r="C281">
        <v>-13.57</v>
      </c>
      <c r="D281">
        <v>1418.94</v>
      </c>
      <c r="E281" t="s">
        <v>88</v>
      </c>
    </row>
    <row r="282" spans="1:7" x14ac:dyDescent="0.25">
      <c r="A282" s="31">
        <v>42815</v>
      </c>
      <c r="B282" t="s">
        <v>401</v>
      </c>
      <c r="C282">
        <v>-28.98</v>
      </c>
      <c r="D282">
        <v>1432.51</v>
      </c>
      <c r="E282" t="s">
        <v>388</v>
      </c>
    </row>
    <row r="283" spans="1:7" x14ac:dyDescent="0.25">
      <c r="A283" s="31">
        <v>42816</v>
      </c>
      <c r="B283" t="s">
        <v>393</v>
      </c>
      <c r="C283">
        <v>-1.5</v>
      </c>
      <c r="D283">
        <v>1325.88</v>
      </c>
      <c r="E283" t="s">
        <v>394</v>
      </c>
    </row>
    <row r="284" spans="1:7" x14ac:dyDescent="0.25">
      <c r="A284" s="31">
        <v>42816</v>
      </c>
      <c r="B284" t="s">
        <v>395</v>
      </c>
      <c r="C284">
        <v>-1</v>
      </c>
      <c r="D284">
        <v>1327.38</v>
      </c>
      <c r="E284" t="s">
        <v>84</v>
      </c>
    </row>
    <row r="285" spans="1:7" x14ac:dyDescent="0.25">
      <c r="A285" s="31">
        <v>42816</v>
      </c>
      <c r="B285" t="s">
        <v>396</v>
      </c>
      <c r="C285">
        <v>-4.0999999999999996</v>
      </c>
      <c r="D285">
        <v>1328.38</v>
      </c>
      <c r="E285" t="s">
        <v>84</v>
      </c>
    </row>
    <row r="286" spans="1:7" x14ac:dyDescent="0.25">
      <c r="A286" s="31">
        <v>42816</v>
      </c>
      <c r="B286" t="s">
        <v>397</v>
      </c>
      <c r="C286">
        <v>-1.83</v>
      </c>
      <c r="D286">
        <v>1332.48</v>
      </c>
      <c r="E286" t="s">
        <v>82</v>
      </c>
    </row>
    <row r="287" spans="1:7" x14ac:dyDescent="0.25">
      <c r="A287" s="31">
        <v>42817</v>
      </c>
      <c r="B287" t="s">
        <v>390</v>
      </c>
      <c r="C287">
        <v>-5.78</v>
      </c>
      <c r="D287">
        <v>1317.09</v>
      </c>
      <c r="E287" t="s">
        <v>84</v>
      </c>
    </row>
    <row r="288" spans="1:7" x14ac:dyDescent="0.25">
      <c r="A288" s="31">
        <v>42817</v>
      </c>
      <c r="B288" t="s">
        <v>391</v>
      </c>
      <c r="C288">
        <v>-1.08</v>
      </c>
      <c r="D288">
        <v>1322.87</v>
      </c>
      <c r="E288" t="s">
        <v>82</v>
      </c>
    </row>
    <row r="289" spans="1:5" x14ac:dyDescent="0.25">
      <c r="A289" s="31">
        <v>42817</v>
      </c>
      <c r="B289" t="s">
        <v>392</v>
      </c>
      <c r="C289">
        <v>-1.93</v>
      </c>
      <c r="D289">
        <v>1323.95</v>
      </c>
      <c r="E289" t="s">
        <v>82</v>
      </c>
    </row>
    <row r="290" spans="1:5" x14ac:dyDescent="0.25">
      <c r="A290" s="31">
        <v>42818</v>
      </c>
      <c r="B290" t="s">
        <v>387</v>
      </c>
      <c r="C290">
        <v>-21.19</v>
      </c>
      <c r="D290">
        <v>1289.31</v>
      </c>
      <c r="E290" t="s">
        <v>388</v>
      </c>
    </row>
    <row r="291" spans="1:5" x14ac:dyDescent="0.25">
      <c r="A291" s="31">
        <v>42818</v>
      </c>
      <c r="B291" t="s">
        <v>389</v>
      </c>
      <c r="C291">
        <v>-6.59</v>
      </c>
      <c r="D291">
        <v>1310.5</v>
      </c>
      <c r="E291" t="s">
        <v>84</v>
      </c>
    </row>
    <row r="292" spans="1:5" x14ac:dyDescent="0.25">
      <c r="A292" s="31">
        <v>42819</v>
      </c>
      <c r="B292" t="s">
        <v>432</v>
      </c>
      <c r="C292">
        <v>10</v>
      </c>
      <c r="D292">
        <v>177</v>
      </c>
      <c r="E292" t="s">
        <v>99</v>
      </c>
    </row>
    <row r="293" spans="1:5" x14ac:dyDescent="0.25">
      <c r="A293" s="31">
        <v>42821</v>
      </c>
      <c r="B293" t="s">
        <v>378</v>
      </c>
      <c r="C293">
        <v>-3.23</v>
      </c>
      <c r="D293">
        <v>1194.3399999999999</v>
      </c>
      <c r="E293" t="s">
        <v>81</v>
      </c>
    </row>
    <row r="294" spans="1:5" x14ac:dyDescent="0.25">
      <c r="A294" s="31">
        <v>42821</v>
      </c>
      <c r="B294" t="s">
        <v>379</v>
      </c>
      <c r="C294">
        <v>-3.02</v>
      </c>
      <c r="D294">
        <v>1197.57</v>
      </c>
      <c r="E294" t="s">
        <v>81</v>
      </c>
    </row>
    <row r="295" spans="1:5" x14ac:dyDescent="0.25">
      <c r="A295" s="31">
        <v>42821</v>
      </c>
      <c r="B295" t="s">
        <v>380</v>
      </c>
      <c r="C295">
        <v>-1.08</v>
      </c>
      <c r="D295">
        <v>1200.5899999999999</v>
      </c>
      <c r="E295" t="s">
        <v>82</v>
      </c>
    </row>
    <row r="296" spans="1:5" x14ac:dyDescent="0.25">
      <c r="A296" s="31">
        <v>42821</v>
      </c>
      <c r="B296" t="s">
        <v>381</v>
      </c>
      <c r="C296">
        <v>-47</v>
      </c>
      <c r="D296">
        <v>1201.67</v>
      </c>
      <c r="E296" t="s">
        <v>99</v>
      </c>
    </row>
    <row r="297" spans="1:5" x14ac:dyDescent="0.25">
      <c r="A297" s="31">
        <v>42821</v>
      </c>
      <c r="B297" t="s">
        <v>382</v>
      </c>
      <c r="C297">
        <v>-21.76</v>
      </c>
      <c r="D297">
        <v>1248.67</v>
      </c>
      <c r="E297" t="s">
        <v>99</v>
      </c>
    </row>
    <row r="298" spans="1:5" x14ac:dyDescent="0.25">
      <c r="A298" s="31">
        <v>42821</v>
      </c>
      <c r="B298" t="s">
        <v>383</v>
      </c>
      <c r="C298">
        <v>-12</v>
      </c>
      <c r="D298">
        <v>1270.43</v>
      </c>
      <c r="E298" t="s">
        <v>84</v>
      </c>
    </row>
    <row r="299" spans="1:5" x14ac:dyDescent="0.25">
      <c r="A299" s="31">
        <v>42821</v>
      </c>
      <c r="B299" t="s">
        <v>384</v>
      </c>
      <c r="C299">
        <v>-3.87</v>
      </c>
      <c r="D299">
        <v>1282.43</v>
      </c>
      <c r="E299" t="s">
        <v>82</v>
      </c>
    </row>
    <row r="300" spans="1:5" x14ac:dyDescent="0.25">
      <c r="A300" s="31">
        <v>42821</v>
      </c>
      <c r="B300" t="s">
        <v>385</v>
      </c>
      <c r="C300">
        <v>-1.08</v>
      </c>
      <c r="D300">
        <v>1286.3</v>
      </c>
      <c r="E300" t="s">
        <v>82</v>
      </c>
    </row>
    <row r="301" spans="1:5" x14ac:dyDescent="0.25">
      <c r="A301" s="31">
        <v>42821</v>
      </c>
      <c r="B301" t="s">
        <v>386</v>
      </c>
      <c r="C301">
        <v>-1.93</v>
      </c>
      <c r="D301">
        <v>1287.3800000000001</v>
      </c>
      <c r="E301" t="s">
        <v>82</v>
      </c>
    </row>
    <row r="302" spans="1:5" x14ac:dyDescent="0.25">
      <c r="A302" s="31">
        <v>42822</v>
      </c>
      <c r="B302" t="s">
        <v>367</v>
      </c>
      <c r="C302">
        <v>-1.61</v>
      </c>
      <c r="D302">
        <v>2093.75</v>
      </c>
      <c r="E302" t="s">
        <v>82</v>
      </c>
    </row>
    <row r="303" spans="1:5" x14ac:dyDescent="0.25">
      <c r="A303" s="31">
        <v>42822</v>
      </c>
      <c r="B303" t="s">
        <v>368</v>
      </c>
      <c r="C303">
        <v>-3.22</v>
      </c>
      <c r="D303">
        <v>2095.36</v>
      </c>
      <c r="E303" t="s">
        <v>84</v>
      </c>
    </row>
    <row r="304" spans="1:5" x14ac:dyDescent="0.25">
      <c r="A304" s="31">
        <v>42822</v>
      </c>
      <c r="B304" t="s">
        <v>369</v>
      </c>
      <c r="C304">
        <v>-1.93</v>
      </c>
      <c r="D304">
        <v>2098.58</v>
      </c>
      <c r="E304" t="s">
        <v>82</v>
      </c>
    </row>
    <row r="305" spans="1:5" x14ac:dyDescent="0.25">
      <c r="A305" s="31">
        <v>42822</v>
      </c>
      <c r="B305" t="s">
        <v>122</v>
      </c>
      <c r="C305">
        <v>-107.17</v>
      </c>
      <c r="D305">
        <v>1057.45</v>
      </c>
      <c r="E305" t="s">
        <v>92</v>
      </c>
    </row>
    <row r="306" spans="1:5" x14ac:dyDescent="0.25">
      <c r="A306" s="31">
        <v>42822</v>
      </c>
      <c r="B306" t="s">
        <v>376</v>
      </c>
      <c r="C306">
        <v>-16.72</v>
      </c>
      <c r="D306">
        <v>1164.6199999999999</v>
      </c>
      <c r="E306" t="s">
        <v>45</v>
      </c>
    </row>
    <row r="307" spans="1:5" x14ac:dyDescent="0.25">
      <c r="A307" s="31">
        <v>42822</v>
      </c>
      <c r="B307" t="s">
        <v>377</v>
      </c>
      <c r="C307">
        <v>-13</v>
      </c>
      <c r="D307">
        <v>1181.3399999999999</v>
      </c>
      <c r="E307" t="s">
        <v>82</v>
      </c>
    </row>
    <row r="308" spans="1:5" x14ac:dyDescent="0.25">
      <c r="A308" s="31">
        <v>42822</v>
      </c>
      <c r="B308" t="s">
        <v>431</v>
      </c>
      <c r="C308">
        <v>-100</v>
      </c>
      <c r="D308">
        <v>77</v>
      </c>
      <c r="E308" t="s">
        <v>104</v>
      </c>
    </row>
    <row r="309" spans="1:5" x14ac:dyDescent="0.25">
      <c r="A309" s="31">
        <v>42823</v>
      </c>
      <c r="B309" t="s">
        <v>366</v>
      </c>
      <c r="C309">
        <v>-3.77</v>
      </c>
      <c r="D309">
        <v>2089.98</v>
      </c>
      <c r="E309" t="s">
        <v>82</v>
      </c>
    </row>
    <row r="310" spans="1:5" x14ac:dyDescent="0.25">
      <c r="A310" s="31">
        <v>42823</v>
      </c>
      <c r="B310" t="s">
        <v>371</v>
      </c>
      <c r="C310">
        <v>-3.23</v>
      </c>
      <c r="D310">
        <v>1085.71</v>
      </c>
      <c r="E310" t="s">
        <v>81</v>
      </c>
    </row>
    <row r="311" spans="1:5" x14ac:dyDescent="0.25">
      <c r="A311" s="31">
        <v>42823</v>
      </c>
      <c r="B311" t="s">
        <v>372</v>
      </c>
      <c r="C311">
        <v>-21.78</v>
      </c>
      <c r="D311">
        <v>1088.94</v>
      </c>
      <c r="E311" t="s">
        <v>103</v>
      </c>
    </row>
    <row r="312" spans="1:5" x14ac:dyDescent="0.25">
      <c r="A312" s="31">
        <v>42823</v>
      </c>
      <c r="B312" t="s">
        <v>373</v>
      </c>
      <c r="C312">
        <v>-5.78</v>
      </c>
      <c r="D312">
        <v>1110.72</v>
      </c>
      <c r="E312" t="s">
        <v>84</v>
      </c>
    </row>
    <row r="313" spans="1:5" x14ac:dyDescent="0.25">
      <c r="A313" s="31">
        <v>42823</v>
      </c>
      <c r="B313" t="s">
        <v>374</v>
      </c>
      <c r="C313">
        <v>-1.83</v>
      </c>
      <c r="D313">
        <v>1116.5</v>
      </c>
      <c r="E313" t="s">
        <v>82</v>
      </c>
    </row>
    <row r="314" spans="1:5" x14ac:dyDescent="0.25">
      <c r="A314" s="31">
        <v>42823</v>
      </c>
      <c r="B314" t="s">
        <v>375</v>
      </c>
      <c r="C314">
        <v>91</v>
      </c>
      <c r="D314">
        <v>1118.33</v>
      </c>
      <c r="E314" t="s">
        <v>90</v>
      </c>
    </row>
    <row r="315" spans="1:5" x14ac:dyDescent="0.25">
      <c r="A315" s="31">
        <v>42823</v>
      </c>
      <c r="B315" t="s">
        <v>375</v>
      </c>
      <c r="C315">
        <v>-30.12</v>
      </c>
      <c r="D315">
        <v>1027.33</v>
      </c>
      <c r="E315" t="s">
        <v>95</v>
      </c>
    </row>
    <row r="316" spans="1:5" x14ac:dyDescent="0.25">
      <c r="A316" s="31">
        <v>42823</v>
      </c>
      <c r="B316" t="s">
        <v>430</v>
      </c>
      <c r="C316">
        <v>-21</v>
      </c>
      <c r="D316">
        <v>56</v>
      </c>
      <c r="E316" t="s">
        <v>430</v>
      </c>
    </row>
    <row r="317" spans="1:5" x14ac:dyDescent="0.25">
      <c r="A317" s="31">
        <v>42824</v>
      </c>
      <c r="B317" t="s">
        <v>114</v>
      </c>
      <c r="C317">
        <v>-663</v>
      </c>
      <c r="D317">
        <v>1208.8499999999999</v>
      </c>
      <c r="E317" t="s">
        <v>114</v>
      </c>
    </row>
    <row r="318" spans="1:5" x14ac:dyDescent="0.25">
      <c r="A318" s="31">
        <v>42824</v>
      </c>
      <c r="B318" t="s">
        <v>359</v>
      </c>
      <c r="C318">
        <v>-57.99</v>
      </c>
      <c r="D318">
        <v>1893.85</v>
      </c>
      <c r="E318" t="s">
        <v>109</v>
      </c>
    </row>
    <row r="319" spans="1:5" x14ac:dyDescent="0.25">
      <c r="A319" s="31">
        <v>42824</v>
      </c>
      <c r="B319" t="s">
        <v>360</v>
      </c>
      <c r="C319">
        <v>-26.29</v>
      </c>
      <c r="D319">
        <v>1951.84</v>
      </c>
      <c r="E319" t="s">
        <v>105</v>
      </c>
    </row>
    <row r="320" spans="1:5" x14ac:dyDescent="0.25">
      <c r="A320" s="31">
        <v>42824</v>
      </c>
      <c r="B320" t="s">
        <v>363</v>
      </c>
      <c r="C320">
        <v>-2.11</v>
      </c>
      <c r="D320">
        <v>2083.56</v>
      </c>
      <c r="E320" t="s">
        <v>84</v>
      </c>
    </row>
    <row r="321" spans="1:5" x14ac:dyDescent="0.25">
      <c r="A321" s="31">
        <v>42824</v>
      </c>
      <c r="B321" t="s">
        <v>364</v>
      </c>
      <c r="C321">
        <v>-2.48</v>
      </c>
      <c r="D321">
        <v>2085.67</v>
      </c>
      <c r="E321" t="s">
        <v>82</v>
      </c>
    </row>
    <row r="322" spans="1:5" x14ac:dyDescent="0.25">
      <c r="A322" s="31">
        <v>42824</v>
      </c>
      <c r="B322" t="s">
        <v>365</v>
      </c>
      <c r="C322">
        <v>-1.83</v>
      </c>
      <c r="D322">
        <v>2088.15</v>
      </c>
      <c r="E322" t="s">
        <v>82</v>
      </c>
    </row>
    <row r="323" spans="1:5" x14ac:dyDescent="0.25">
      <c r="A323" s="31">
        <v>42824</v>
      </c>
      <c r="B323" t="s">
        <v>370</v>
      </c>
      <c r="C323">
        <v>1014.8</v>
      </c>
      <c r="D323">
        <v>2100.5100000000002</v>
      </c>
      <c r="E323" t="s">
        <v>87</v>
      </c>
    </row>
    <row r="324" spans="1:5" x14ac:dyDescent="0.25">
      <c r="A324" s="31">
        <v>42826</v>
      </c>
      <c r="B324" t="s">
        <v>358</v>
      </c>
      <c r="C324">
        <v>-10</v>
      </c>
      <c r="D324">
        <v>1883.85</v>
      </c>
      <c r="E324" t="s">
        <v>89</v>
      </c>
    </row>
    <row r="325" spans="1:5" x14ac:dyDescent="0.25">
      <c r="A325" s="31">
        <v>42834</v>
      </c>
      <c r="B325" t="s">
        <v>83</v>
      </c>
      <c r="C325">
        <v>-12</v>
      </c>
      <c r="D325">
        <v>1871.85</v>
      </c>
      <c r="E325" t="s">
        <v>83</v>
      </c>
    </row>
    <row r="326" spans="1:5" x14ac:dyDescent="0.25">
      <c r="A326" s="31">
        <v>42842</v>
      </c>
      <c r="B326" t="s">
        <v>361</v>
      </c>
      <c r="C326">
        <v>-52.09</v>
      </c>
      <c r="D326">
        <v>1978.13</v>
      </c>
      <c r="E326" t="s">
        <v>115</v>
      </c>
    </row>
    <row r="327" spans="1:5" x14ac:dyDescent="0.25">
      <c r="A327" s="31">
        <v>42842</v>
      </c>
      <c r="B327" t="s">
        <v>362</v>
      </c>
      <c r="C327">
        <v>-53.34</v>
      </c>
      <c r="D327">
        <v>2030.22</v>
      </c>
      <c r="E327" t="s">
        <v>101</v>
      </c>
    </row>
  </sheetData>
  <autoFilter ref="A1:H327">
    <sortState ref="A2:H333">
      <sortCondition ref="A1:A333"/>
    </sortState>
  </autoFilter>
  <pageMargins left="0.7" right="0.7" top="0.75" bottom="0.75" header="0.3" footer="0.3"/>
  <pageSetup scale="80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Earnings</vt:lpstr>
      <vt:lpstr>VariableCreator</vt:lpstr>
      <vt:lpstr>Bar Stools</vt:lpstr>
      <vt:lpstr>Budget</vt:lpstr>
      <vt:lpstr>AfterTaxTable</vt:lpstr>
      <vt:lpstr>PreTaxTable</vt:lpstr>
      <vt:lpstr>TaxTable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D3Q1700</dc:creator>
  <cp:lastModifiedBy>D3Q1700</cp:lastModifiedBy>
  <dcterms:created xsi:type="dcterms:W3CDTF">2017-03-15T15:08:20Z</dcterms:created>
  <dcterms:modified xsi:type="dcterms:W3CDTF">2017-04-06T14:36:47Z</dcterms:modified>
</cp:coreProperties>
</file>